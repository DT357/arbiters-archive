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bcd25cedf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reak model" sheetId="1" r:id="Re889272fc53e4878"/>
    <x:sheet xmlns:r="http://schemas.openxmlformats.org/officeDocument/2006/relationships" name="Spread calculation" sheetId="2" r:id="R7d3277013122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1"/>
      <x:color rgb="FF243445"/>
      <x:name val="Arial"/>
    </x:font>
    <x:font>
      <x:b/>
      <x:sz val="17"/>
      <x:color rgb="FF243445"/>
      <x:name val="Arial"/>
    </x:font>
    <x:font>
      <x:b/>
      <x:sz val="11"/>
      <x:color rgb="FF243445"/>
      <x:name val="Arial"/>
    </x:font>
    <x:font>
      <x:b/>
      <x:sz val="11"/>
      <x:color rgb="FFFFFFFF"/>
      <x:name val="Arial"/>
    </x:font>
    <x:font>
      <x:b/>
      <x:sz val="11"/>
      <x:color rgb="FF744A00"/>
      <x:name val="Arial"/>
    </x:font>
    <x:font>
      <x:b/>
      <x:sz val="15"/>
      <x:color rgb="FF2434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5"/>
      </x:patternFill>
    </x:fill>
    <x:fill>
      <x:patternFill patternType="solid">
        <x:fgColor rgb="FFFFF0BA"/>
      </x:patternFill>
    </x:fill>
    <x:fill>
      <x:patternFill patternType="solid">
        <x:fgColor rgb="FFF1F4F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A9BA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32020"/>
      </x:font>
      <x:fill>
        <x:patternFill patternType="solid">
          <x:bgColor rgb="FFFDE4E1"/>
        </x:patternFill>
      </x:fill>
    </x:dxf>
    <x:dxf>
      <x:font>
        <x:color rgb="FFA32020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458e284f64862" /><Relationship Type="http://schemas.openxmlformats.org/officeDocument/2006/relationships/theme" Target="/xl/theme/theme1.xml" Id="R732db204c5b04498" /><Relationship Type="http://schemas.openxmlformats.org/officeDocument/2006/relationships/sharedStrings" Target="/xl/sharedStrings.xml" Id="Rb2ec682040fd4ca7" /><Relationship Type="http://schemas.openxmlformats.org/officeDocument/2006/relationships/worksheet" Target="/xl/worksheets/sheet1.xml" Id="Re889272fc53e4878" /><Relationship Type="http://schemas.openxmlformats.org/officeDocument/2006/relationships/worksheet" Target="/xl/worksheets/sheet2.xml" Id="R7d32770131224f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89228c41894b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Spread over the first six intervals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Active zombies</c:v>
          </c:tx>
          <c:spPr>
            <a:solidFill xmlns:a="http://schemas.openxmlformats.org/drawingml/2006/main">
              <a:srgbClr val="8E3343"/>
            </a:solidFill>
            <a:ln xmlns:a="http://schemas.openxmlformats.org/drawingml/2006/main" w="19050">
              <a:solidFill>
                <a:srgbClr val="8E3343"/>
              </a:solidFill>
              <a:prstDash val="solid"/>
            </a:ln>
          </c:spPr>
          <c:marker>
            <c:symbol val="none"/>
          </c:marker>
          <c:cat>
            <c:strRef>
              <c:f>'Outbreak model'!$B$20:$B$26</c:f>
              <c:strCache>
                <c:ptCount val="0"/>
              </c:strCache>
            </c:strRef>
          </c:cat>
          <c:val>
            <c:numRef>
              <c:f>'Outbreak model'!$D$20:$D$26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Ever infected</c:v>
          </c:tx>
          <c:spPr>
            <a:solidFill xmlns:a="http://schemas.openxmlformats.org/drawingml/2006/main">
              <a:srgbClr val="CA8A04"/>
            </a:solidFill>
            <a:ln xmlns:a="http://schemas.openxmlformats.org/drawingml/2006/main" w="19050">
              <a:solidFill>
                <a:srgbClr val="CA8A04"/>
              </a:solidFill>
              <a:prstDash val="solid"/>
            </a:ln>
          </c:spPr>
          <c:marker>
            <c:symbol val="none"/>
          </c:marker>
          <c:cat>
            <c:strRef>
              <c:f>'Outbreak model'!$B$20:$B$26</c:f>
              <c:strCache>
                <c:ptCount val="0"/>
              </c:strCache>
            </c:strRef>
          </c:cat>
          <c:val>
            <c:numRef>
              <c:f>'Outbreak model'!$F$20:$F$26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Uninfected</c:v>
          </c:tx>
          <c:spPr>
            <a:solidFill xmlns:a="http://schemas.openxmlformats.org/drawingml/2006/main">
              <a:srgbClr val="3F7C89"/>
            </a:solidFill>
            <a:ln xmlns:a="http://schemas.openxmlformats.org/drawingml/2006/main" w="19050">
              <a:solidFill>
                <a:srgbClr val="3F7C89"/>
              </a:solidFill>
              <a:prstDash val="solid"/>
            </a:ln>
          </c:spPr>
          <c:marker>
            <c:symbol val="none"/>
          </c:marker>
          <c:cat>
            <c:strRef>
              <c:f>'Outbreak model'!$B$20:$B$26</c:f>
              <c:strCache>
                <c:ptCount val="0"/>
              </c:strCache>
            </c:strRef>
          </c:cat>
          <c:val>
            <c:numRef>
              <c:f>'Outbreak model'!$G$20:$G$26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Hours since first attacks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People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89228c41894b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728bc132604949" /></Relationships>
</file>

<file path=xl/worksheets/sheet1.xml><?xml version="1.0" encoding="utf-8"?>
<x:worksheet xmlns:x="http://schemas.openxmlformats.org/spreadsheetml/2006/main">
  <x:sheetPr>
    <x:tabColor rgb="FF243445"/>
  </x:sheetPr>
  <x:sheetViews>
    <x:sheetView showGridLines="0" workbookViewId="0"/>
  </x:sheetViews>
  <x:sheetFormatPr defaultRowHeight="15"/>
  <x:cols>
    <x:col min="1" max="1" width="3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2"/>
      <x:c r="B2" s="3" t="str">
        <x:v>Zombiism outbreak</x:v>
      </x:c>
      <x:c r="C2" s="2"/>
      <x:c r="D2" s="2"/>
      <x:c r="E2" s="2"/>
      <x:c r="F2" s="2"/>
      <x:c r="G2" s="2"/>
      <x:c r="H2" s="2"/>
    </x:row>
    <x:row r="3" ht="24" customHeight="1">
      <x:c r="A3" s="2"/>
      <x:c r="B3" s="4"/>
      <x:c r="C3" s="4"/>
      <x:c r="D3" s="4"/>
      <x:c r="E3" s="4"/>
      <x:c r="F3" s="4"/>
      <x:c r="G3" s="4"/>
      <x:c r="H3" s="4"/>
    </x:row>
    <x:row r="4" ht="24" customHeight="1">
      <x:c r="A4" s="2"/>
      <x:c r="B4" s="5" t="str">
        <x:v>EDIT AMBER CELLS</x:v>
      </x:c>
      <x:c r="C4" s="2"/>
      <x:c r="D4" s="2"/>
      <x:c r="E4" s="2"/>
      <x:c r="F4" s="2"/>
      <x:c r="G4" s="2"/>
      <x:c r="H4" s="2"/>
    </x:row>
    <x:row r="5" ht="24" customHeight="1">
      <x:c r="A5" s="2"/>
      <x:c r="B5" s="7" t="str">
        <x:v>Inputs</x:v>
      </x:c>
      <x:c r="C5" s="7"/>
      <x:c r="D5" s="7"/>
      <x:c r="E5" s="7" t="str">
        <x:v>Value</x:v>
      </x:c>
      <x:c r="F5" s="7" t="str">
        <x:v>Meaning</x:v>
      </x:c>
      <x:c r="G5" s="7"/>
      <x:c r="H5" s="7"/>
    </x:row>
    <x:row r="6" ht="24" customHeight="1">
      <x:c r="A6" s="2"/>
      <x:c r="B6" s="2" t="str">
        <x:v>Island population</x:v>
      </x:c>
      <x:c r="C6" s="2"/>
      <x:c r="D6" s="2"/>
      <x:c r="E6" s="10" t="n">
        <x:v>1000</x:v>
      </x:c>
      <x:c r="F6" s="2" t="str">
        <x:v>Includes the starting zombies.</x:v>
      </x:c>
      <x:c r="G6" s="2"/>
      <x:c r="H6" s="2"/>
    </x:row>
    <x:row r="7" ht="24" customHeight="1">
      <x:c r="A7" s="2"/>
      <x:c r="B7" s="2" t="str">
        <x:v>Starting zombies</x:v>
      </x:c>
      <x:c r="C7" s="2"/>
      <x:c r="D7" s="2"/>
      <x:c r="E7" s="10" t="n">
        <x:v>1</x:v>
      </x:c>
      <x:c r="F7" s="2" t="str">
        <x:v>Ready to infect at hour zero.</x:v>
      </x:c>
      <x:c r="G7" s="2"/>
      <x:c r="H7" s="2"/>
    </x:row>
    <x:row r="8" ht="24" customHeight="1">
      <x:c r="A8" s="2"/>
      <x:c r="B8" s="2" t="str">
        <x:v>Victims per zombie</x:v>
      </x:c>
      <x:c r="C8" s="2"/>
      <x:c r="D8" s="2"/>
      <x:c r="E8" s="10" t="n">
        <x:v>3</x:v>
      </x:c>
      <x:c r="F8" s="2" t="str">
        <x:v>One batch per zombie, after rising.</x:v>
      </x:c>
      <x:c r="G8" s="2"/>
      <x:c r="H8" s="2"/>
    </x:row>
    <x:row r="9" ht="24" customHeight="1">
      <x:c r="A9" s="2"/>
      <x:c r="B9" s="2" t="str">
        <x:v>Reanimation time (hours)</x:v>
      </x:c>
      <x:c r="C9" s="2"/>
      <x:c r="D9" s="2"/>
      <x:c r="E9" s="10" t="n">
        <x:v>12</x:v>
      </x:c>
      <x:c r="F9" s="2" t="str">
        <x:v>Also sets the interval between rows.</x:v>
      </x:c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 t="str">
        <x:v>Input status</x:v>
      </x:c>
      <x:c r="C11" s="2"/>
      <x:c r="D11" s="2"/>
      <x:c r="E11" s="2" t="str">
        <x:f>IF(COUNT(E6:E9)&lt;&gt;4,"Enter all four inputs",IF(AND(E6&gt;=1,E6&lt;=1000000,E6=INT(E6),E7&gt;=0,E7&lt;=E6,E7=INT(E7),E8&gt;=0,E8&lt;=20,E8=INT(E8),E9&gt;=1,E9&lt;=168,E9=INT(E9)),"Ready","Use valid whole numbers"))</x:f>
        <x:v>Ready</x:v>
      </x:c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 t="str">
        <x:v>Everyone infected (hours)</x:v>
      </x:c>
      <x:c r="C13" s="2"/>
      <x:c r="D13" s="2"/>
      <x:c r="E13" s="11" t="n">
        <x:f>IF(E11&lt;&gt;"Ready","Check inputs",IF(COUNTIFS('Spread calculation'!G5:G105,0)=0,"Not reached",INDEX('Spread calculation'!B5:B105,MATCH(0,'Spread calculation'!G5:G105,0))))</x:f>
        <x:v>60</x:v>
      </x:c>
      <x:c r="F13" s="2" t="str">
        <x:v>Measured from the first attacks.</x:v>
      </x:c>
      <x:c r="G13" s="2"/>
      <x:c r="H13" s="2"/>
    </x:row>
    <x:row r="14" ht="24" customHeight="1">
      <x:c r="A14" s="2"/>
      <x:c r="B14" s="2" t="str">
        <x:v>Everyone reanimated (hours)</x:v>
      </x:c>
      <x:c r="C14" s="2"/>
      <x:c r="D14" s="2"/>
      <x:c r="E14" s="11" t="n">
        <x:f>IF(E11&lt;&gt;"Ready","Check inputs",IF(COUNTIFS('Spread calculation'!D5:D105,E6)=0,"Not reached",INDEX('Spread calculation'!B5:B105,MATCH(E6,'Spread calculation'!D5:D105,0))))</x:f>
        <x:v>72</x:v>
      </x:c>
      <x:c r="F14" s="2" t="str">
        <x:v>Not reached = beyond 100 intervals or no spread.</x:v>
      </x:c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5" t="str">
        <x:v>First six intervals</x:v>
      </x:c>
      <x:c r="C16" s="2"/>
      <x:c r="D16" s="2"/>
      <x:c r="E16" s="2"/>
      <x:c r="F16" s="2"/>
      <x:c r="G16" s="2"/>
      <x:c r="H16" s="2"/>
    </x:row>
    <x:row r="17" ht="24" customHeight="1">
      <x:c r="A17" s="2"/>
      <x:c r="B17" s="2" t="str">
        <x:v>Counts are after each wave of bites. Living infected people rise at the next interval.</x:v>
      </x:c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34" customHeight="1">
      <x:c r="A19" s="2"/>
      <x:c r="B19" s="12" t="str">
        <x:v>Elapsed hours</x:v>
      </x:c>
      <x:c r="C19" s="12" t="str">
        <x:v>New zombies</x:v>
      </x:c>
      <x:c r="D19" s="12" t="str">
        <x:v>Active zombies</x:v>
      </x:c>
      <x:c r="E19" s="12" t="str">
        <x:v>Living infected</x:v>
      </x:c>
      <x:c r="F19" s="12" t="str">
        <x:v>Ever infected</x:v>
      </x:c>
      <x:c r="G19" s="12" t="str">
        <x:v>Uninfected</x:v>
      </x:c>
      <x:c r="H19" s="12" t="str">
        <x:v>Infected share</x:v>
      </x:c>
    </x:row>
    <x:row r="20" ht="29" customHeight="1">
      <x:c r="A20" s="2"/>
      <x:c r="B20" s="15" t="n">
        <x:f>'Spread calculation'!B5</x:f>
        <x:v>0</x:v>
      </x:c>
      <x:c r="C20" s="15" t="n">
        <x:f>'Spread calculation'!C5</x:f>
        <x:v>1</x:v>
      </x:c>
      <x:c r="D20" s="15" t="n">
        <x:f>'Spread calculation'!D5</x:f>
        <x:v>1</x:v>
      </x:c>
      <x:c r="E20" s="15" t="n">
        <x:f>'Spread calculation'!E5</x:f>
        <x:v>3</x:v>
      </x:c>
      <x:c r="F20" s="15" t="n">
        <x:f>'Spread calculation'!F5</x:f>
        <x:v>4</x:v>
      </x:c>
      <x:c r="G20" s="15" t="n">
        <x:f>'Spread calculation'!G5</x:f>
        <x:v>996</x:v>
      </x:c>
      <x:c r="H20" s="16" t="n">
        <x:f>'Spread calculation'!H5</x:f>
        <x:v>0.004</x:v>
      </x:c>
    </x:row>
    <x:row r="21" ht="29" customHeight="1">
      <x:c r="A21" s="2"/>
      <x:c r="B21" s="13" t="n">
        <x:f>'Spread calculation'!B6</x:f>
        <x:v>12</x:v>
      </x:c>
      <x:c r="C21" s="13" t="n">
        <x:f>'Spread calculation'!C6</x:f>
        <x:v>3</x:v>
      </x:c>
      <x:c r="D21" s="13" t="n">
        <x:f>'Spread calculation'!D6</x:f>
        <x:v>4</x:v>
      </x:c>
      <x:c r="E21" s="13" t="n">
        <x:f>'Spread calculation'!E6</x:f>
        <x:v>9</x:v>
      </x:c>
      <x:c r="F21" s="13" t="n">
        <x:f>'Spread calculation'!F6</x:f>
        <x:v>13</x:v>
      </x:c>
      <x:c r="G21" s="13" t="n">
        <x:f>'Spread calculation'!G6</x:f>
        <x:v>987</x:v>
      </x:c>
      <x:c r="H21" s="14" t="n">
        <x:f>'Spread calculation'!H6</x:f>
        <x:v>0.013</x:v>
      </x:c>
    </x:row>
    <x:row r="22" ht="29" customHeight="1">
      <x:c r="A22" s="2"/>
      <x:c r="B22" s="15" t="n">
        <x:f>'Spread calculation'!B7</x:f>
        <x:v>24</x:v>
      </x:c>
      <x:c r="C22" s="15" t="n">
        <x:f>'Spread calculation'!C7</x:f>
        <x:v>9</x:v>
      </x:c>
      <x:c r="D22" s="15" t="n">
        <x:f>'Spread calculation'!D7</x:f>
        <x:v>13</x:v>
      </x:c>
      <x:c r="E22" s="15" t="n">
        <x:f>'Spread calculation'!E7</x:f>
        <x:v>27</x:v>
      </x:c>
      <x:c r="F22" s="15" t="n">
        <x:f>'Spread calculation'!F7</x:f>
        <x:v>40</x:v>
      </x:c>
      <x:c r="G22" s="15" t="n">
        <x:f>'Spread calculation'!G7</x:f>
        <x:v>960</x:v>
      </x:c>
      <x:c r="H22" s="16" t="n">
        <x:f>'Spread calculation'!H7</x:f>
        <x:v>0.04</x:v>
      </x:c>
    </x:row>
    <x:row r="23" ht="29" customHeight="1">
      <x:c r="A23" s="2"/>
      <x:c r="B23" s="13" t="n">
        <x:f>'Spread calculation'!B8</x:f>
        <x:v>36</x:v>
      </x:c>
      <x:c r="C23" s="13" t="n">
        <x:f>'Spread calculation'!C8</x:f>
        <x:v>27</x:v>
      </x:c>
      <x:c r="D23" s="13" t="n">
        <x:f>'Spread calculation'!D8</x:f>
        <x:v>40</x:v>
      </x:c>
      <x:c r="E23" s="13" t="n">
        <x:f>'Spread calculation'!E8</x:f>
        <x:v>81</x:v>
      </x:c>
      <x:c r="F23" s="13" t="n">
        <x:f>'Spread calculation'!F8</x:f>
        <x:v>121</x:v>
      </x:c>
      <x:c r="G23" s="13" t="n">
        <x:f>'Spread calculation'!G8</x:f>
        <x:v>879</x:v>
      </x:c>
      <x:c r="H23" s="14" t="n">
        <x:f>'Spread calculation'!H8</x:f>
        <x:v>0.121</x:v>
      </x:c>
    </x:row>
    <x:row r="24" ht="29" customHeight="1">
      <x:c r="A24" s="2"/>
      <x:c r="B24" s="15" t="n">
        <x:f>'Spread calculation'!B9</x:f>
        <x:v>48</x:v>
      </x:c>
      <x:c r="C24" s="15" t="n">
        <x:f>'Spread calculation'!C9</x:f>
        <x:v>81</x:v>
      </x:c>
      <x:c r="D24" s="15" t="n">
        <x:f>'Spread calculation'!D9</x:f>
        <x:v>121</x:v>
      </x:c>
      <x:c r="E24" s="15" t="n">
        <x:f>'Spread calculation'!E9</x:f>
        <x:v>243</x:v>
      </x:c>
      <x:c r="F24" s="15" t="n">
        <x:f>'Spread calculation'!F9</x:f>
        <x:v>364</x:v>
      </x:c>
      <x:c r="G24" s="15" t="n">
        <x:f>'Spread calculation'!G9</x:f>
        <x:v>636</x:v>
      </x:c>
      <x:c r="H24" s="16" t="n">
        <x:f>'Spread calculation'!H9</x:f>
        <x:v>0.364</x:v>
      </x:c>
    </x:row>
    <x:row r="25" ht="29" customHeight="1">
      <x:c r="A25" s="2"/>
      <x:c r="B25" s="13" t="n">
        <x:f>'Spread calculation'!B10</x:f>
        <x:v>60</x:v>
      </x:c>
      <x:c r="C25" s="13" t="n">
        <x:f>'Spread calculation'!C10</x:f>
        <x:v>243</x:v>
      </x:c>
      <x:c r="D25" s="13" t="n">
        <x:f>'Spread calculation'!D10</x:f>
        <x:v>364</x:v>
      </x:c>
      <x:c r="E25" s="13" t="n">
        <x:f>'Spread calculation'!E10</x:f>
        <x:v>636</x:v>
      </x:c>
      <x:c r="F25" s="13" t="n">
        <x:f>'Spread calculation'!F10</x:f>
        <x:v>1000</x:v>
      </x:c>
      <x:c r="G25" s="13" t="n">
        <x:f>'Spread calculation'!G10</x:f>
        <x:v>0</x:v>
      </x:c>
      <x:c r="H25" s="14" t="n">
        <x:f>'Spread calculation'!H10</x:f>
        <x:v>1</x:v>
      </x:c>
    </x:row>
    <x:row r="26" ht="29" customHeight="1">
      <x:c r="A26" s="2"/>
      <x:c r="B26" s="15" t="n">
        <x:f>'Spread calculation'!B11</x:f>
        <x:v>72</x:v>
      </x:c>
      <x:c r="C26" s="15" t="n">
        <x:f>'Spread calculation'!C11</x:f>
        <x:v>636</x:v>
      </x:c>
      <x:c r="D26" s="15" t="n">
        <x:f>'Spread calculation'!D11</x:f>
        <x:v>1000</x:v>
      </x:c>
      <x:c r="E26" s="15" t="n">
        <x:f>'Spread calculation'!E11</x:f>
        <x:v>0</x:v>
      </x:c>
      <x:c r="F26" s="15" t="n">
        <x:f>'Spread calculation'!F11</x:f>
        <x:v>1000</x:v>
      </x:c>
      <x:c r="G26" s="15" t="n">
        <x:f>'Spread calculation'!G11</x:f>
        <x:v>0</x:v>
      </x:c>
      <x:c r="H26" s="16" t="n">
        <x:f>'Spread calculation'!H11</x:f>
        <x:v>1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5" t="str">
        <x:v>Model assumptions and sources</x:v>
      </x:c>
      <x:c r="C46" s="2"/>
      <x:c r="D46" s="2"/>
      <x:c r="E46" s="2"/>
      <x:c r="F46" s="2"/>
      <x:c r="G46" s="2"/>
      <x:c r="H46" s="2"/>
    </x:row>
    <x:row r="47" ht="24" customHeight="1">
      <x:c r="A47" s="2"/>
      <x:c r="B47" s="2" t="str">
        <x:v>Discrete transmission waves, not a calibrated SEIR forecast. Each zombie infects once; existing zombies remain active.</x:v>
      </x:c>
      <x:c r="C47" s="2"/>
      <x:c r="D47" s="2"/>
      <x:c r="E47" s="2"/>
      <x:c r="F47" s="2"/>
      <x:c r="G47" s="2"/>
      <x:c r="H47" s="2"/>
    </x:row>
    <x:row r="48" ht="24" customHeight="1">
      <x:c r="A48" s="2"/>
      <x:c r="B48" s="2" t="str">
        <x:v>100% mortality and reanimation. No treatment, removal, escape, travel delay or repeat bites of the same person.</x:v>
      </x:c>
      <x:c r="C48" s="2"/>
      <x:c r="D48" s="2"/>
      <x:c r="E48" s="2"/>
      <x:c r="F48" s="2"/>
      <x:c r="G48" s="2"/>
      <x:c r="H48" s="2"/>
    </x:row>
    <x:row r="49" ht="24" customHeight="1">
      <x:c r="A49" s="2"/>
      <x:c r="B49" s="2" t="str">
        <x:v>Source: The Late Trapper's Lament, printed pp. 4 and 18; 12 hours is a rounded bite-to-reanimation assumption.</x:v>
      </x:c>
      <x:c r="C49" s="2"/>
      <x:c r="D49" s="2"/>
      <x:c r="E49" s="2"/>
      <x:c r="F49" s="2"/>
      <x:c r="G49" s="2"/>
      <x:c r="H49" s="2"/>
    </x:row>
    <x:row r="50" ht="24" customHeight="1">
      <x:c r="A50" s="2"/>
      <x:c r="B50" s="2" t="str">
        <x:v>Population, starting count and victims per zombie are scenario inputs. Full calculation: 100 intervals after hour zero.</x:v>
      </x:c>
      <x:c r="C50" s="2"/>
      <x:c r="D50" s="2"/>
      <x:c r="E50" s="2"/>
      <x:c r="F50" s="2"/>
      <x:c r="G50" s="2"/>
      <x:c r="H50" s="2"/>
    </x:row>
    <x:row r="51" ht="24" customHeight="1">
      <x:c r="A51" s="2"/>
      <x:c r="B51" s="2" t="str">
        <x:v>Input limits: population 1–1,000,000; starting zombies 0–population; victims 0–20; hours 1–168. Whole numbers only.</x:v>
      </x:c>
      <x:c r="C51" s="2"/>
      <x:c r="D51" s="2"/>
      <x:c r="E51" s="2"/>
      <x:c r="F51" s="2"/>
      <x:c r="G51" s="2"/>
      <x:c r="H51" s="2"/>
    </x:row>
  </x:sheetData>
  <x:conditionalFormatting sqref="E11:H11">
    <x:cfRule type="expression" dxfId="0" priority="1">
      <x:formula>$E$11&lt;&gt;"Ready"</x:formula>
    </x:cfRule>
  </x:conditionalFormatting>
  <x:dataValidations count="4">
    <x:dataValidation type="whole" operator="between" sqref="E6">
      <x:formula1>1</x:formula1>
      <x:formula2>1000000</x:formula2>
    </x:dataValidation>
    <x:dataValidation type="whole" operator="between" sqref="E7">
      <x:formula1>0</x:formula1>
      <x:formula2>$E$6</x:formula2>
    </x:dataValidation>
    <x:dataValidation type="whole" operator="between" sqref="E8">
      <x:formula1>0</x:formula1>
      <x:formula2>20</x:formula2>
    </x:dataValidation>
    <x:dataValidation type="whole" operator="between" sqref="E9">
      <x:formula1>1</x:formula1>
      <x:formula2>168</x:formula2>
    </x:dataValidation>
  </x:dataValidations>
  <x:pageMargins left="0.7" right="0.7" top="0.75" bottom="0.75" header="0.3" footer="0.3"/>
  <x:drawing xmlns:r="http://schemas.openxmlformats.org/officeDocument/2006/relationships" r:id="Rd2728bc132604949"/>
</x:worksheet>
</file>

<file path=xl/worksheets/sheet2.xml><?xml version="1.0" encoding="utf-8"?>
<x:worksheet xmlns:x="http://schemas.openxmlformats.org/spreadsheetml/2006/main">
  <x:sheetPr>
    <x:tabColor rgb="FF24344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Generation-by-generation calculation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One attack batch per new zombie; no removal, cure or escape. Population caps new infections.</x:v>
      </x:c>
      <x:c r="B3" s="2"/>
      <x:c r="C3" s="2"/>
      <x:c r="D3" s="2"/>
      <x:c r="E3" s="2"/>
      <x:c r="F3" s="2"/>
      <x:c r="G3" s="2"/>
      <x:c r="H3" s="2"/>
    </x:row>
    <x:row r="4" ht="34" customHeight="1">
      <x:c r="A4" s="12" t="str">
        <x:v>Generation</x:v>
      </x:c>
      <x:c r="B4" s="12" t="str">
        <x:v>Elapsed hours</x:v>
      </x:c>
      <x:c r="C4" s="12" t="str">
        <x:v>New zombies</x:v>
      </x:c>
      <x:c r="D4" s="12" t="str">
        <x:v>Active zombies</x:v>
      </x:c>
      <x:c r="E4" s="12" t="str">
        <x:v>Living infected</x:v>
      </x:c>
      <x:c r="F4" s="12" t="str">
        <x:v>Ever infected</x:v>
      </x:c>
      <x:c r="G4" s="12" t="str">
        <x:v>Uninfected</x:v>
      </x:c>
      <x:c r="H4" s="12" t="str">
        <x:v>Infected share</x:v>
      </x:c>
    </x:row>
    <x:row r="5" ht="24" customHeight="1">
      <x:c r="A5" s="13" t="n">
        <x:f>IF('Outbreak model'!$E$11&lt;&gt;"Ready","",0)</x:f>
        <x:v>0</x:v>
      </x:c>
      <x:c r="B5" s="13" t="n">
        <x:f>IF('Outbreak model'!$E$11&lt;&gt;"Ready","",A5*'Outbreak model'!$E$9)</x:f>
        <x:v>0</x:v>
      </x:c>
      <x:c r="C5" s="13" t="n">
        <x:f>IF('Outbreak model'!$E$11&lt;&gt;"Ready","",'Outbreak model'!$E$7)</x:f>
        <x:v>1</x:v>
      </x:c>
      <x:c r="D5" s="13" t="n">
        <x:f>IF('Outbreak model'!$E$11&lt;&gt;"Ready","",C5)</x:f>
        <x:v>1</x:v>
      </x:c>
      <x:c r="E5" s="13" t="n">
        <x:f>IF('Outbreak model'!$E$11&lt;&gt;"Ready","",MIN('Outbreak model'!$E$6-D5,C5*'Outbreak model'!$E$8))</x:f>
        <x:v>3</x:v>
      </x:c>
      <x:c r="F5" s="13" t="n">
        <x:f>IF('Outbreak model'!$E$11&lt;&gt;"Ready","",SUM(D5:E5))</x:f>
        <x:v>4</x:v>
      </x:c>
      <x:c r="G5" s="13" t="n">
        <x:f>IF('Outbreak model'!$E$11&lt;&gt;"Ready","",'Outbreak model'!$E$6-F5)</x:f>
        <x:v>996</x:v>
      </x:c>
      <x:c r="H5" s="14" t="n">
        <x:f>IF('Outbreak model'!$E$11&lt;&gt;"Ready","",F5/'Outbreak model'!$E$6)</x:f>
        <x:v>0.004</x:v>
      </x:c>
    </x:row>
    <x:row r="6" ht="24" customHeight="1">
      <x:c r="A6" s="13" t="n">
        <x:f>IF(NOT(ISNUMBER(A5)),"",A5+1)</x:f>
        <x:v>1</x:v>
      </x:c>
      <x:c r="B6" s="13" t="n">
        <x:f>IF(NOT(ISNUMBER(A6)),"",A6*'Outbreak model'!$E$9)</x:f>
        <x:v>12</x:v>
      </x:c>
      <x:c r="C6" s="13" t="n">
        <x:f>IF(NOT(ISNUMBER(A6)),"",E5)</x:f>
        <x:v>3</x:v>
      </x:c>
      <x:c r="D6" s="13" t="n">
        <x:f>IF(NOT(ISNUMBER(A6)),"",D5+C6)</x:f>
        <x:v>4</x:v>
      </x:c>
      <x:c r="E6" s="13" t="n">
        <x:f>IF(NOT(ISNUMBER(A6)),"",MIN(G5,C6*'Outbreak model'!$E$8))</x:f>
        <x:v>9</x:v>
      </x:c>
      <x:c r="F6" s="13" t="n">
        <x:f>IF(NOT(ISNUMBER(A6)),"",F5+E6)</x:f>
        <x:v>13</x:v>
      </x:c>
      <x:c r="G6" s="13" t="n">
        <x:f>IF(NOT(ISNUMBER(A6)),"",G5-E6)</x:f>
        <x:v>987</x:v>
      </x:c>
      <x:c r="H6" s="14" t="n">
        <x:f>IF(NOT(ISNUMBER(A6)),"",F6/'Outbreak model'!$E$6)</x:f>
        <x:v>0.013</x:v>
      </x:c>
    </x:row>
    <x:row r="7" ht="24" customHeight="1">
      <x:c r="A7" s="13" t="n">
        <x:f>IF(NOT(ISNUMBER(A6)),"",A6+1)</x:f>
        <x:v>2</x:v>
      </x:c>
      <x:c r="B7" s="13" t="n">
        <x:f>IF(NOT(ISNUMBER(A7)),"",A7*'Outbreak model'!$E$9)</x:f>
        <x:v>24</x:v>
      </x:c>
      <x:c r="C7" s="13" t="n">
        <x:f>IF(NOT(ISNUMBER(A7)),"",E6)</x:f>
        <x:v>9</x:v>
      </x:c>
      <x:c r="D7" s="13" t="n">
        <x:f>IF(NOT(ISNUMBER(A7)),"",D6+C7)</x:f>
        <x:v>13</x:v>
      </x:c>
      <x:c r="E7" s="13" t="n">
        <x:f>IF(NOT(ISNUMBER(A7)),"",MIN(G6,C7*'Outbreak model'!$E$8))</x:f>
        <x:v>27</x:v>
      </x:c>
      <x:c r="F7" s="13" t="n">
        <x:f>IF(NOT(ISNUMBER(A7)),"",F6+E7)</x:f>
        <x:v>40</x:v>
      </x:c>
      <x:c r="G7" s="13" t="n">
        <x:f>IF(NOT(ISNUMBER(A7)),"",G6-E7)</x:f>
        <x:v>960</x:v>
      </x:c>
      <x:c r="H7" s="14" t="n">
        <x:f>IF(NOT(ISNUMBER(A7)),"",F7/'Outbreak model'!$E$6)</x:f>
        <x:v>0.04</x:v>
      </x:c>
    </x:row>
    <x:row r="8" ht="24" customHeight="1">
      <x:c r="A8" s="13" t="n">
        <x:f>IF(NOT(ISNUMBER(A7)),"",A7+1)</x:f>
        <x:v>3</x:v>
      </x:c>
      <x:c r="B8" s="13" t="n">
        <x:f>IF(NOT(ISNUMBER(A8)),"",A8*'Outbreak model'!$E$9)</x:f>
        <x:v>36</x:v>
      </x:c>
      <x:c r="C8" s="13" t="n">
        <x:f>IF(NOT(ISNUMBER(A8)),"",E7)</x:f>
        <x:v>27</x:v>
      </x:c>
      <x:c r="D8" s="13" t="n">
        <x:f>IF(NOT(ISNUMBER(A8)),"",D7+C8)</x:f>
        <x:v>40</x:v>
      </x:c>
      <x:c r="E8" s="13" t="n">
        <x:f>IF(NOT(ISNUMBER(A8)),"",MIN(G7,C8*'Outbreak model'!$E$8))</x:f>
        <x:v>81</x:v>
      </x:c>
      <x:c r="F8" s="13" t="n">
        <x:f>IF(NOT(ISNUMBER(A8)),"",F7+E8)</x:f>
        <x:v>121</x:v>
      </x:c>
      <x:c r="G8" s="13" t="n">
        <x:f>IF(NOT(ISNUMBER(A8)),"",G7-E8)</x:f>
        <x:v>879</x:v>
      </x:c>
      <x:c r="H8" s="14" t="n">
        <x:f>IF(NOT(ISNUMBER(A8)),"",F8/'Outbreak model'!$E$6)</x:f>
        <x:v>0.121</x:v>
      </x:c>
    </x:row>
    <x:row r="9" ht="24" customHeight="1">
      <x:c r="A9" s="13" t="n">
        <x:f>IF(NOT(ISNUMBER(A8)),"",A8+1)</x:f>
        <x:v>4</x:v>
      </x:c>
      <x:c r="B9" s="13" t="n">
        <x:f>IF(NOT(ISNUMBER(A9)),"",A9*'Outbreak model'!$E$9)</x:f>
        <x:v>48</x:v>
      </x:c>
      <x:c r="C9" s="13" t="n">
        <x:f>IF(NOT(ISNUMBER(A9)),"",E8)</x:f>
        <x:v>81</x:v>
      </x:c>
      <x:c r="D9" s="13" t="n">
        <x:f>IF(NOT(ISNUMBER(A9)),"",D8+C9)</x:f>
        <x:v>121</x:v>
      </x:c>
      <x:c r="E9" s="13" t="n">
        <x:f>IF(NOT(ISNUMBER(A9)),"",MIN(G8,C9*'Outbreak model'!$E$8))</x:f>
        <x:v>243</x:v>
      </x:c>
      <x:c r="F9" s="13" t="n">
        <x:f>IF(NOT(ISNUMBER(A9)),"",F8+E9)</x:f>
        <x:v>364</x:v>
      </x:c>
      <x:c r="G9" s="13" t="n">
        <x:f>IF(NOT(ISNUMBER(A9)),"",G8-E9)</x:f>
        <x:v>636</x:v>
      </x:c>
      <x:c r="H9" s="14" t="n">
        <x:f>IF(NOT(ISNUMBER(A9)),"",F9/'Outbreak model'!$E$6)</x:f>
        <x:v>0.364</x:v>
      </x:c>
    </x:row>
    <x:row r="10" ht="24" customHeight="1">
      <x:c r="A10" s="13" t="n">
        <x:f>IF(NOT(ISNUMBER(A9)),"",A9+1)</x:f>
        <x:v>5</x:v>
      </x:c>
      <x:c r="B10" s="13" t="n">
        <x:f>IF(NOT(ISNUMBER(A10)),"",A10*'Outbreak model'!$E$9)</x:f>
        <x:v>60</x:v>
      </x:c>
      <x:c r="C10" s="13" t="n">
        <x:f>IF(NOT(ISNUMBER(A10)),"",E9)</x:f>
        <x:v>243</x:v>
      </x:c>
      <x:c r="D10" s="13" t="n">
        <x:f>IF(NOT(ISNUMBER(A10)),"",D9+C10)</x:f>
        <x:v>364</x:v>
      </x:c>
      <x:c r="E10" s="13" t="n">
        <x:f>IF(NOT(ISNUMBER(A10)),"",MIN(G9,C10*'Outbreak model'!$E$8))</x:f>
        <x:v>636</x:v>
      </x:c>
      <x:c r="F10" s="13" t="n">
        <x:f>IF(NOT(ISNUMBER(A10)),"",F9+E10)</x:f>
        <x:v>1000</x:v>
      </x:c>
      <x:c r="G10" s="13" t="n">
        <x:f>IF(NOT(ISNUMBER(A10)),"",G9-E10)</x:f>
        <x:v>0</x:v>
      </x:c>
      <x:c r="H10" s="14" t="n">
        <x:f>IF(NOT(ISNUMBER(A10)),"",F10/'Outbreak model'!$E$6)</x:f>
        <x:v>1</x:v>
      </x:c>
    </x:row>
    <x:row r="11" ht="24" customHeight="1">
      <x:c r="A11" s="13" t="n">
        <x:f>IF(NOT(ISNUMBER(A10)),"",A10+1)</x:f>
        <x:v>6</x:v>
      </x:c>
      <x:c r="B11" s="13" t="n">
        <x:f>IF(NOT(ISNUMBER(A11)),"",A11*'Outbreak model'!$E$9)</x:f>
        <x:v>72</x:v>
      </x:c>
      <x:c r="C11" s="13" t="n">
        <x:f>IF(NOT(ISNUMBER(A11)),"",E10)</x:f>
        <x:v>636</x:v>
      </x:c>
      <x:c r="D11" s="13" t="n">
        <x:f>IF(NOT(ISNUMBER(A11)),"",D10+C11)</x:f>
        <x:v>1000</x:v>
      </x:c>
      <x:c r="E11" s="13" t="n">
        <x:f>IF(NOT(ISNUMBER(A11)),"",MIN(G10,C11*'Outbreak model'!$E$8))</x:f>
        <x:v>0</x:v>
      </x:c>
      <x:c r="F11" s="13" t="n">
        <x:f>IF(NOT(ISNUMBER(A11)),"",F10+E11)</x:f>
        <x:v>1000</x:v>
      </x:c>
      <x:c r="G11" s="13" t="n">
        <x:f>IF(NOT(ISNUMBER(A11)),"",G10-E11)</x:f>
        <x:v>0</x:v>
      </x:c>
      <x:c r="H11" s="14" t="n">
        <x:f>IF(NOT(ISNUMBER(A11)),"",F11/'Outbreak model'!$E$6)</x:f>
        <x:v>1</x:v>
      </x:c>
    </x:row>
    <x:row r="12" ht="24" customHeight="1">
      <x:c r="A12" s="13" t="n">
        <x:f>IF(NOT(ISNUMBER(A11)),"",A11+1)</x:f>
        <x:v>7</x:v>
      </x:c>
      <x:c r="B12" s="13" t="n">
        <x:f>IF(NOT(ISNUMBER(A12)),"",A12*'Outbreak model'!$E$9)</x:f>
        <x:v>84</x:v>
      </x:c>
      <x:c r="C12" s="13" t="n">
        <x:f>IF(NOT(ISNUMBER(A12)),"",E11)</x:f>
        <x:v>0</x:v>
      </x:c>
      <x:c r="D12" s="13" t="n">
        <x:f>IF(NOT(ISNUMBER(A12)),"",D11+C12)</x:f>
        <x:v>1000</x:v>
      </x:c>
      <x:c r="E12" s="13" t="n">
        <x:f>IF(NOT(ISNUMBER(A12)),"",MIN(G11,C12*'Outbreak model'!$E$8))</x:f>
        <x:v>0</x:v>
      </x:c>
      <x:c r="F12" s="13" t="n">
        <x:f>IF(NOT(ISNUMBER(A12)),"",F11+E12)</x:f>
        <x:v>1000</x:v>
      </x:c>
      <x:c r="G12" s="13" t="n">
        <x:f>IF(NOT(ISNUMBER(A12)),"",G11-E12)</x:f>
        <x:v>0</x:v>
      </x:c>
      <x:c r="H12" s="14" t="n">
        <x:f>IF(NOT(ISNUMBER(A12)),"",F12/'Outbreak model'!$E$6)</x:f>
        <x:v>1</x:v>
      </x:c>
    </x:row>
    <x:row r="13" ht="24" customHeight="1">
      <x:c r="A13" s="13" t="n">
        <x:f>IF(NOT(ISNUMBER(A12)),"",A12+1)</x:f>
        <x:v>8</x:v>
      </x:c>
      <x:c r="B13" s="13" t="n">
        <x:f>IF(NOT(ISNUMBER(A13)),"",A13*'Outbreak model'!$E$9)</x:f>
        <x:v>96</x:v>
      </x:c>
      <x:c r="C13" s="13" t="n">
        <x:f>IF(NOT(ISNUMBER(A13)),"",E12)</x:f>
        <x:v>0</x:v>
      </x:c>
      <x:c r="D13" s="13" t="n">
        <x:f>IF(NOT(ISNUMBER(A13)),"",D12+C13)</x:f>
        <x:v>1000</x:v>
      </x:c>
      <x:c r="E13" s="13" t="n">
        <x:f>IF(NOT(ISNUMBER(A13)),"",MIN(G12,C13*'Outbreak model'!$E$8))</x:f>
        <x:v>0</x:v>
      </x:c>
      <x:c r="F13" s="13" t="n">
        <x:f>IF(NOT(ISNUMBER(A13)),"",F12+E13)</x:f>
        <x:v>1000</x:v>
      </x:c>
      <x:c r="G13" s="13" t="n">
        <x:f>IF(NOT(ISNUMBER(A13)),"",G12-E13)</x:f>
        <x:v>0</x:v>
      </x:c>
      <x:c r="H13" s="14" t="n">
        <x:f>IF(NOT(ISNUMBER(A13)),"",F13/'Outbreak model'!$E$6)</x:f>
        <x:v>1</x:v>
      </x:c>
    </x:row>
    <x:row r="14" ht="24" customHeight="1">
      <x:c r="A14" s="13" t="n">
        <x:f>IF(NOT(ISNUMBER(A13)),"",A13+1)</x:f>
        <x:v>9</x:v>
      </x:c>
      <x:c r="B14" s="13" t="n">
        <x:f>IF(NOT(ISNUMBER(A14)),"",A14*'Outbreak model'!$E$9)</x:f>
        <x:v>108</x:v>
      </x:c>
      <x:c r="C14" s="13" t="n">
        <x:f>IF(NOT(ISNUMBER(A14)),"",E13)</x:f>
        <x:v>0</x:v>
      </x:c>
      <x:c r="D14" s="13" t="n">
        <x:f>IF(NOT(ISNUMBER(A14)),"",D13+C14)</x:f>
        <x:v>1000</x:v>
      </x:c>
      <x:c r="E14" s="13" t="n">
        <x:f>IF(NOT(ISNUMBER(A14)),"",MIN(G13,C14*'Outbreak model'!$E$8))</x:f>
        <x:v>0</x:v>
      </x:c>
      <x:c r="F14" s="13" t="n">
        <x:f>IF(NOT(ISNUMBER(A14)),"",F13+E14)</x:f>
        <x:v>1000</x:v>
      </x:c>
      <x:c r="G14" s="13" t="n">
        <x:f>IF(NOT(ISNUMBER(A14)),"",G13-E14)</x:f>
        <x:v>0</x:v>
      </x:c>
      <x:c r="H14" s="14" t="n">
        <x:f>IF(NOT(ISNUMBER(A14)),"",F14/'Outbreak model'!$E$6)</x:f>
        <x:v>1</x:v>
      </x:c>
    </x:row>
    <x:row r="15" ht="24" customHeight="1">
      <x:c r="A15" s="13" t="n">
        <x:f>IF(NOT(ISNUMBER(A14)),"",A14+1)</x:f>
        <x:v>10</x:v>
      </x:c>
      <x:c r="B15" s="13" t="n">
        <x:f>IF(NOT(ISNUMBER(A15)),"",A15*'Outbreak model'!$E$9)</x:f>
        <x:v>120</x:v>
      </x:c>
      <x:c r="C15" s="13" t="n">
        <x:f>IF(NOT(ISNUMBER(A15)),"",E14)</x:f>
        <x:v>0</x:v>
      </x:c>
      <x:c r="D15" s="13" t="n">
        <x:f>IF(NOT(ISNUMBER(A15)),"",D14+C15)</x:f>
        <x:v>1000</x:v>
      </x:c>
      <x:c r="E15" s="13" t="n">
        <x:f>IF(NOT(ISNUMBER(A15)),"",MIN(G14,C15*'Outbreak model'!$E$8))</x:f>
        <x:v>0</x:v>
      </x:c>
      <x:c r="F15" s="13" t="n">
        <x:f>IF(NOT(ISNUMBER(A15)),"",F14+E15)</x:f>
        <x:v>1000</x:v>
      </x:c>
      <x:c r="G15" s="13" t="n">
        <x:f>IF(NOT(ISNUMBER(A15)),"",G14-E15)</x:f>
        <x:v>0</x:v>
      </x:c>
      <x:c r="H15" s="14" t="n">
        <x:f>IF(NOT(ISNUMBER(A15)),"",F15/'Outbreak model'!$E$6)</x:f>
        <x:v>1</x:v>
      </x:c>
    </x:row>
    <x:row r="16" ht="24" customHeight="1">
      <x:c r="A16" s="13" t="n">
        <x:f>IF(NOT(ISNUMBER(A15)),"",A15+1)</x:f>
        <x:v>11</x:v>
      </x:c>
      <x:c r="B16" s="13" t="n">
        <x:f>IF(NOT(ISNUMBER(A16)),"",A16*'Outbreak model'!$E$9)</x:f>
        <x:v>132</x:v>
      </x:c>
      <x:c r="C16" s="13" t="n">
        <x:f>IF(NOT(ISNUMBER(A16)),"",E15)</x:f>
        <x:v>0</x:v>
      </x:c>
      <x:c r="D16" s="13" t="n">
        <x:f>IF(NOT(ISNUMBER(A16)),"",D15+C16)</x:f>
        <x:v>1000</x:v>
      </x:c>
      <x:c r="E16" s="13" t="n">
        <x:f>IF(NOT(ISNUMBER(A16)),"",MIN(G15,C16*'Outbreak model'!$E$8))</x:f>
        <x:v>0</x:v>
      </x:c>
      <x:c r="F16" s="13" t="n">
        <x:f>IF(NOT(ISNUMBER(A16)),"",F15+E16)</x:f>
        <x:v>1000</x:v>
      </x:c>
      <x:c r="G16" s="13" t="n">
        <x:f>IF(NOT(ISNUMBER(A16)),"",G15-E16)</x:f>
        <x:v>0</x:v>
      </x:c>
      <x:c r="H16" s="14" t="n">
        <x:f>IF(NOT(ISNUMBER(A16)),"",F16/'Outbreak model'!$E$6)</x:f>
        <x:v>1</x:v>
      </x:c>
    </x:row>
    <x:row r="17" ht="24" customHeight="1">
      <x:c r="A17" s="13" t="n">
        <x:f>IF(NOT(ISNUMBER(A16)),"",A16+1)</x:f>
        <x:v>12</x:v>
      </x:c>
      <x:c r="B17" s="13" t="n">
        <x:f>IF(NOT(ISNUMBER(A17)),"",A17*'Outbreak model'!$E$9)</x:f>
        <x:v>144</x:v>
      </x:c>
      <x:c r="C17" s="13" t="n">
        <x:f>IF(NOT(ISNUMBER(A17)),"",E16)</x:f>
        <x:v>0</x:v>
      </x:c>
      <x:c r="D17" s="13" t="n">
        <x:f>IF(NOT(ISNUMBER(A17)),"",D16+C17)</x:f>
        <x:v>1000</x:v>
      </x:c>
      <x:c r="E17" s="13" t="n">
        <x:f>IF(NOT(ISNUMBER(A17)),"",MIN(G16,C17*'Outbreak model'!$E$8))</x:f>
        <x:v>0</x:v>
      </x:c>
      <x:c r="F17" s="13" t="n">
        <x:f>IF(NOT(ISNUMBER(A17)),"",F16+E17)</x:f>
        <x:v>1000</x:v>
      </x:c>
      <x:c r="G17" s="13" t="n">
        <x:f>IF(NOT(ISNUMBER(A17)),"",G16-E17)</x:f>
        <x:v>0</x:v>
      </x:c>
      <x:c r="H17" s="14" t="n">
        <x:f>IF(NOT(ISNUMBER(A17)),"",F17/'Outbreak model'!$E$6)</x:f>
        <x:v>1</x:v>
      </x:c>
    </x:row>
    <x:row r="18" ht="24" customHeight="1">
      <x:c r="A18" s="13" t="n">
        <x:f>IF(NOT(ISNUMBER(A17)),"",A17+1)</x:f>
        <x:v>13</x:v>
      </x:c>
      <x:c r="B18" s="13" t="n">
        <x:f>IF(NOT(ISNUMBER(A18)),"",A18*'Outbreak model'!$E$9)</x:f>
        <x:v>156</x:v>
      </x:c>
      <x:c r="C18" s="13" t="n">
        <x:f>IF(NOT(ISNUMBER(A18)),"",E17)</x:f>
        <x:v>0</x:v>
      </x:c>
      <x:c r="D18" s="13" t="n">
        <x:f>IF(NOT(ISNUMBER(A18)),"",D17+C18)</x:f>
        <x:v>1000</x:v>
      </x:c>
      <x:c r="E18" s="13" t="n">
        <x:f>IF(NOT(ISNUMBER(A18)),"",MIN(G17,C18*'Outbreak model'!$E$8))</x:f>
        <x:v>0</x:v>
      </x:c>
      <x:c r="F18" s="13" t="n">
        <x:f>IF(NOT(ISNUMBER(A18)),"",F17+E18)</x:f>
        <x:v>1000</x:v>
      </x:c>
      <x:c r="G18" s="13" t="n">
        <x:f>IF(NOT(ISNUMBER(A18)),"",G17-E18)</x:f>
        <x:v>0</x:v>
      </x:c>
      <x:c r="H18" s="14" t="n">
        <x:f>IF(NOT(ISNUMBER(A18)),"",F18/'Outbreak model'!$E$6)</x:f>
        <x:v>1</x:v>
      </x:c>
    </x:row>
    <x:row r="19" ht="24" customHeight="1">
      <x:c r="A19" s="13" t="n">
        <x:f>IF(NOT(ISNUMBER(A18)),"",A18+1)</x:f>
        <x:v>14</x:v>
      </x:c>
      <x:c r="B19" s="13" t="n">
        <x:f>IF(NOT(ISNUMBER(A19)),"",A19*'Outbreak model'!$E$9)</x:f>
        <x:v>168</x:v>
      </x:c>
      <x:c r="C19" s="13" t="n">
        <x:f>IF(NOT(ISNUMBER(A19)),"",E18)</x:f>
        <x:v>0</x:v>
      </x:c>
      <x:c r="D19" s="13" t="n">
        <x:f>IF(NOT(ISNUMBER(A19)),"",D18+C19)</x:f>
        <x:v>1000</x:v>
      </x:c>
      <x:c r="E19" s="13" t="n">
        <x:f>IF(NOT(ISNUMBER(A19)),"",MIN(G18,C19*'Outbreak model'!$E$8))</x:f>
        <x:v>0</x:v>
      </x:c>
      <x:c r="F19" s="13" t="n">
        <x:f>IF(NOT(ISNUMBER(A19)),"",F18+E19)</x:f>
        <x:v>1000</x:v>
      </x:c>
      <x:c r="G19" s="13" t="n">
        <x:f>IF(NOT(ISNUMBER(A19)),"",G18-E19)</x:f>
        <x:v>0</x:v>
      </x:c>
      <x:c r="H19" s="14" t="n">
        <x:f>IF(NOT(ISNUMBER(A19)),"",F19/'Outbreak model'!$E$6)</x:f>
        <x:v>1</x:v>
      </x:c>
    </x:row>
    <x:row r="20" ht="24" customHeight="1">
      <x:c r="A20" s="13" t="n">
        <x:f>IF(NOT(ISNUMBER(A19)),"",A19+1)</x:f>
        <x:v>15</x:v>
      </x:c>
      <x:c r="B20" s="13" t="n">
        <x:f>IF(NOT(ISNUMBER(A20)),"",A20*'Outbreak model'!$E$9)</x:f>
        <x:v>180</x:v>
      </x:c>
      <x:c r="C20" s="13" t="n">
        <x:f>IF(NOT(ISNUMBER(A20)),"",E19)</x:f>
        <x:v>0</x:v>
      </x:c>
      <x:c r="D20" s="13" t="n">
        <x:f>IF(NOT(ISNUMBER(A20)),"",D19+C20)</x:f>
        <x:v>1000</x:v>
      </x:c>
      <x:c r="E20" s="13" t="n">
        <x:f>IF(NOT(ISNUMBER(A20)),"",MIN(G19,C20*'Outbreak model'!$E$8))</x:f>
        <x:v>0</x:v>
      </x:c>
      <x:c r="F20" s="13" t="n">
        <x:f>IF(NOT(ISNUMBER(A20)),"",F19+E20)</x:f>
        <x:v>1000</x:v>
      </x:c>
      <x:c r="G20" s="13" t="n">
        <x:f>IF(NOT(ISNUMBER(A20)),"",G19-E20)</x:f>
        <x:v>0</x:v>
      </x:c>
      <x:c r="H20" s="14" t="n">
        <x:f>IF(NOT(ISNUMBER(A20)),"",F20/'Outbreak model'!$E$6)</x:f>
        <x:v>1</x:v>
      </x:c>
    </x:row>
    <x:row r="21" ht="24" customHeight="1">
      <x:c r="A21" s="13" t="n">
        <x:f>IF(NOT(ISNUMBER(A20)),"",A20+1)</x:f>
        <x:v>16</x:v>
      </x:c>
      <x:c r="B21" s="13" t="n">
        <x:f>IF(NOT(ISNUMBER(A21)),"",A21*'Outbreak model'!$E$9)</x:f>
        <x:v>192</x:v>
      </x:c>
      <x:c r="C21" s="13" t="n">
        <x:f>IF(NOT(ISNUMBER(A21)),"",E20)</x:f>
        <x:v>0</x:v>
      </x:c>
      <x:c r="D21" s="13" t="n">
        <x:f>IF(NOT(ISNUMBER(A21)),"",D20+C21)</x:f>
        <x:v>1000</x:v>
      </x:c>
      <x:c r="E21" s="13" t="n">
        <x:f>IF(NOT(ISNUMBER(A21)),"",MIN(G20,C21*'Outbreak model'!$E$8))</x:f>
        <x:v>0</x:v>
      </x:c>
      <x:c r="F21" s="13" t="n">
        <x:f>IF(NOT(ISNUMBER(A21)),"",F20+E21)</x:f>
        <x:v>1000</x:v>
      </x:c>
      <x:c r="G21" s="13" t="n">
        <x:f>IF(NOT(ISNUMBER(A21)),"",G20-E21)</x:f>
        <x:v>0</x:v>
      </x:c>
      <x:c r="H21" s="14" t="n">
        <x:f>IF(NOT(ISNUMBER(A21)),"",F21/'Outbreak model'!$E$6)</x:f>
        <x:v>1</x:v>
      </x:c>
    </x:row>
    <x:row r="22" ht="24" customHeight="1">
      <x:c r="A22" s="13" t="n">
        <x:f>IF(NOT(ISNUMBER(A21)),"",A21+1)</x:f>
        <x:v>17</x:v>
      </x:c>
      <x:c r="B22" s="13" t="n">
        <x:f>IF(NOT(ISNUMBER(A22)),"",A22*'Outbreak model'!$E$9)</x:f>
        <x:v>204</x:v>
      </x:c>
      <x:c r="C22" s="13" t="n">
        <x:f>IF(NOT(ISNUMBER(A22)),"",E21)</x:f>
        <x:v>0</x:v>
      </x:c>
      <x:c r="D22" s="13" t="n">
        <x:f>IF(NOT(ISNUMBER(A22)),"",D21+C22)</x:f>
        <x:v>1000</x:v>
      </x:c>
      <x:c r="E22" s="13" t="n">
        <x:f>IF(NOT(ISNUMBER(A22)),"",MIN(G21,C22*'Outbreak model'!$E$8))</x:f>
        <x:v>0</x:v>
      </x:c>
      <x:c r="F22" s="13" t="n">
        <x:f>IF(NOT(ISNUMBER(A22)),"",F21+E22)</x:f>
        <x:v>1000</x:v>
      </x:c>
      <x:c r="G22" s="13" t="n">
        <x:f>IF(NOT(ISNUMBER(A22)),"",G21-E22)</x:f>
        <x:v>0</x:v>
      </x:c>
      <x:c r="H22" s="14" t="n">
        <x:f>IF(NOT(ISNUMBER(A22)),"",F22/'Outbreak model'!$E$6)</x:f>
        <x:v>1</x:v>
      </x:c>
    </x:row>
    <x:row r="23" ht="24" customHeight="1">
      <x:c r="A23" s="13" t="n">
        <x:f>IF(NOT(ISNUMBER(A22)),"",A22+1)</x:f>
        <x:v>18</x:v>
      </x:c>
      <x:c r="B23" s="13" t="n">
        <x:f>IF(NOT(ISNUMBER(A23)),"",A23*'Outbreak model'!$E$9)</x:f>
        <x:v>216</x:v>
      </x:c>
      <x:c r="C23" s="13" t="n">
        <x:f>IF(NOT(ISNUMBER(A23)),"",E22)</x:f>
        <x:v>0</x:v>
      </x:c>
      <x:c r="D23" s="13" t="n">
        <x:f>IF(NOT(ISNUMBER(A23)),"",D22+C23)</x:f>
        <x:v>1000</x:v>
      </x:c>
      <x:c r="E23" s="13" t="n">
        <x:f>IF(NOT(ISNUMBER(A23)),"",MIN(G22,C23*'Outbreak model'!$E$8))</x:f>
        <x:v>0</x:v>
      </x:c>
      <x:c r="F23" s="13" t="n">
        <x:f>IF(NOT(ISNUMBER(A23)),"",F22+E23)</x:f>
        <x:v>1000</x:v>
      </x:c>
      <x:c r="G23" s="13" t="n">
        <x:f>IF(NOT(ISNUMBER(A23)),"",G22-E23)</x:f>
        <x:v>0</x:v>
      </x:c>
      <x:c r="H23" s="14" t="n">
        <x:f>IF(NOT(ISNUMBER(A23)),"",F23/'Outbreak model'!$E$6)</x:f>
        <x:v>1</x:v>
      </x:c>
    </x:row>
    <x:row r="24" ht="24" customHeight="1">
      <x:c r="A24" s="13" t="n">
        <x:f>IF(NOT(ISNUMBER(A23)),"",A23+1)</x:f>
        <x:v>19</x:v>
      </x:c>
      <x:c r="B24" s="13" t="n">
        <x:f>IF(NOT(ISNUMBER(A24)),"",A24*'Outbreak model'!$E$9)</x:f>
        <x:v>228</x:v>
      </x:c>
      <x:c r="C24" s="13" t="n">
        <x:f>IF(NOT(ISNUMBER(A24)),"",E23)</x:f>
        <x:v>0</x:v>
      </x:c>
      <x:c r="D24" s="13" t="n">
        <x:f>IF(NOT(ISNUMBER(A24)),"",D23+C24)</x:f>
        <x:v>1000</x:v>
      </x:c>
      <x:c r="E24" s="13" t="n">
        <x:f>IF(NOT(ISNUMBER(A24)),"",MIN(G23,C24*'Outbreak model'!$E$8))</x:f>
        <x:v>0</x:v>
      </x:c>
      <x:c r="F24" s="13" t="n">
        <x:f>IF(NOT(ISNUMBER(A24)),"",F23+E24)</x:f>
        <x:v>1000</x:v>
      </x:c>
      <x:c r="G24" s="13" t="n">
        <x:f>IF(NOT(ISNUMBER(A24)),"",G23-E24)</x:f>
        <x:v>0</x:v>
      </x:c>
      <x:c r="H24" s="14" t="n">
        <x:f>IF(NOT(ISNUMBER(A24)),"",F24/'Outbreak model'!$E$6)</x:f>
        <x:v>1</x:v>
      </x:c>
    </x:row>
    <x:row r="25" ht="24" customHeight="1">
      <x:c r="A25" s="13" t="n">
        <x:f>IF(NOT(ISNUMBER(A24)),"",A24+1)</x:f>
        <x:v>20</x:v>
      </x:c>
      <x:c r="B25" s="13" t="n">
        <x:f>IF(NOT(ISNUMBER(A25)),"",A25*'Outbreak model'!$E$9)</x:f>
        <x:v>240</x:v>
      </x:c>
      <x:c r="C25" s="13" t="n">
        <x:f>IF(NOT(ISNUMBER(A25)),"",E24)</x:f>
        <x:v>0</x:v>
      </x:c>
      <x:c r="D25" s="13" t="n">
        <x:f>IF(NOT(ISNUMBER(A25)),"",D24+C25)</x:f>
        <x:v>1000</x:v>
      </x:c>
      <x:c r="E25" s="13" t="n">
        <x:f>IF(NOT(ISNUMBER(A25)),"",MIN(G24,C25*'Outbreak model'!$E$8))</x:f>
        <x:v>0</x:v>
      </x:c>
      <x:c r="F25" s="13" t="n">
        <x:f>IF(NOT(ISNUMBER(A25)),"",F24+E25)</x:f>
        <x:v>1000</x:v>
      </x:c>
      <x:c r="G25" s="13" t="n">
        <x:f>IF(NOT(ISNUMBER(A25)),"",G24-E25)</x:f>
        <x:v>0</x:v>
      </x:c>
      <x:c r="H25" s="14" t="n">
        <x:f>IF(NOT(ISNUMBER(A25)),"",F25/'Outbreak model'!$E$6)</x:f>
        <x:v>1</x:v>
      </x:c>
    </x:row>
    <x:row r="26" ht="24" customHeight="1">
      <x:c r="A26" s="13" t="n">
        <x:f>IF(NOT(ISNUMBER(A25)),"",A25+1)</x:f>
        <x:v>21</x:v>
      </x:c>
      <x:c r="B26" s="13" t="n">
        <x:f>IF(NOT(ISNUMBER(A26)),"",A26*'Outbreak model'!$E$9)</x:f>
        <x:v>252</x:v>
      </x:c>
      <x:c r="C26" s="13" t="n">
        <x:f>IF(NOT(ISNUMBER(A26)),"",E25)</x:f>
        <x:v>0</x:v>
      </x:c>
      <x:c r="D26" s="13" t="n">
        <x:f>IF(NOT(ISNUMBER(A26)),"",D25+C26)</x:f>
        <x:v>1000</x:v>
      </x:c>
      <x:c r="E26" s="13" t="n">
        <x:f>IF(NOT(ISNUMBER(A26)),"",MIN(G25,C26*'Outbreak model'!$E$8))</x:f>
        <x:v>0</x:v>
      </x:c>
      <x:c r="F26" s="13" t="n">
        <x:f>IF(NOT(ISNUMBER(A26)),"",F25+E26)</x:f>
        <x:v>1000</x:v>
      </x:c>
      <x:c r="G26" s="13" t="n">
        <x:f>IF(NOT(ISNUMBER(A26)),"",G25-E26)</x:f>
        <x:v>0</x:v>
      </x:c>
      <x:c r="H26" s="14" t="n">
        <x:f>IF(NOT(ISNUMBER(A26)),"",F26/'Outbreak model'!$E$6)</x:f>
        <x:v>1</x:v>
      </x:c>
    </x:row>
    <x:row r="27" ht="24" customHeight="1">
      <x:c r="A27" s="13" t="n">
        <x:f>IF(NOT(ISNUMBER(A26)),"",A26+1)</x:f>
        <x:v>22</x:v>
      </x:c>
      <x:c r="B27" s="13" t="n">
        <x:f>IF(NOT(ISNUMBER(A27)),"",A27*'Outbreak model'!$E$9)</x:f>
        <x:v>264</x:v>
      </x:c>
      <x:c r="C27" s="13" t="n">
        <x:f>IF(NOT(ISNUMBER(A27)),"",E26)</x:f>
        <x:v>0</x:v>
      </x:c>
      <x:c r="D27" s="13" t="n">
        <x:f>IF(NOT(ISNUMBER(A27)),"",D26+C27)</x:f>
        <x:v>1000</x:v>
      </x:c>
      <x:c r="E27" s="13" t="n">
        <x:f>IF(NOT(ISNUMBER(A27)),"",MIN(G26,C27*'Outbreak model'!$E$8))</x:f>
        <x:v>0</x:v>
      </x:c>
      <x:c r="F27" s="13" t="n">
        <x:f>IF(NOT(ISNUMBER(A27)),"",F26+E27)</x:f>
        <x:v>1000</x:v>
      </x:c>
      <x:c r="G27" s="13" t="n">
        <x:f>IF(NOT(ISNUMBER(A27)),"",G26-E27)</x:f>
        <x:v>0</x:v>
      </x:c>
      <x:c r="H27" s="14" t="n">
        <x:f>IF(NOT(ISNUMBER(A27)),"",F27/'Outbreak model'!$E$6)</x:f>
        <x:v>1</x:v>
      </x:c>
    </x:row>
    <x:row r="28" ht="24" customHeight="1">
      <x:c r="A28" s="13" t="n">
        <x:f>IF(NOT(ISNUMBER(A27)),"",A27+1)</x:f>
        <x:v>23</x:v>
      </x:c>
      <x:c r="B28" s="13" t="n">
        <x:f>IF(NOT(ISNUMBER(A28)),"",A28*'Outbreak model'!$E$9)</x:f>
        <x:v>276</x:v>
      </x:c>
      <x:c r="C28" s="13" t="n">
        <x:f>IF(NOT(ISNUMBER(A28)),"",E27)</x:f>
        <x:v>0</x:v>
      </x:c>
      <x:c r="D28" s="13" t="n">
        <x:f>IF(NOT(ISNUMBER(A28)),"",D27+C28)</x:f>
        <x:v>1000</x:v>
      </x:c>
      <x:c r="E28" s="13" t="n">
        <x:f>IF(NOT(ISNUMBER(A28)),"",MIN(G27,C28*'Outbreak model'!$E$8))</x:f>
        <x:v>0</x:v>
      </x:c>
      <x:c r="F28" s="13" t="n">
        <x:f>IF(NOT(ISNUMBER(A28)),"",F27+E28)</x:f>
        <x:v>1000</x:v>
      </x:c>
      <x:c r="G28" s="13" t="n">
        <x:f>IF(NOT(ISNUMBER(A28)),"",G27-E28)</x:f>
        <x:v>0</x:v>
      </x:c>
      <x:c r="H28" s="14" t="n">
        <x:f>IF(NOT(ISNUMBER(A28)),"",F28/'Outbreak model'!$E$6)</x:f>
        <x:v>1</x:v>
      </x:c>
    </x:row>
    <x:row r="29" ht="24" customHeight="1">
      <x:c r="A29" s="13" t="n">
        <x:f>IF(NOT(ISNUMBER(A28)),"",A28+1)</x:f>
        <x:v>24</x:v>
      </x:c>
      <x:c r="B29" s="13" t="n">
        <x:f>IF(NOT(ISNUMBER(A29)),"",A29*'Outbreak model'!$E$9)</x:f>
        <x:v>288</x:v>
      </x:c>
      <x:c r="C29" s="13" t="n">
        <x:f>IF(NOT(ISNUMBER(A29)),"",E28)</x:f>
        <x:v>0</x:v>
      </x:c>
      <x:c r="D29" s="13" t="n">
        <x:f>IF(NOT(ISNUMBER(A29)),"",D28+C29)</x:f>
        <x:v>1000</x:v>
      </x:c>
      <x:c r="E29" s="13" t="n">
        <x:f>IF(NOT(ISNUMBER(A29)),"",MIN(G28,C29*'Outbreak model'!$E$8))</x:f>
        <x:v>0</x:v>
      </x:c>
      <x:c r="F29" s="13" t="n">
        <x:f>IF(NOT(ISNUMBER(A29)),"",F28+E29)</x:f>
        <x:v>1000</x:v>
      </x:c>
      <x:c r="G29" s="13" t="n">
        <x:f>IF(NOT(ISNUMBER(A29)),"",G28-E29)</x:f>
        <x:v>0</x:v>
      </x:c>
      <x:c r="H29" s="14" t="n">
        <x:f>IF(NOT(ISNUMBER(A29)),"",F29/'Outbreak model'!$E$6)</x:f>
        <x:v>1</x:v>
      </x:c>
    </x:row>
    <x:row r="30" ht="24" customHeight="1">
      <x:c r="A30" s="13" t="n">
        <x:f>IF(NOT(ISNUMBER(A29)),"",A29+1)</x:f>
        <x:v>25</x:v>
      </x:c>
      <x:c r="B30" s="13" t="n">
        <x:f>IF(NOT(ISNUMBER(A30)),"",A30*'Outbreak model'!$E$9)</x:f>
        <x:v>300</x:v>
      </x:c>
      <x:c r="C30" s="13" t="n">
        <x:f>IF(NOT(ISNUMBER(A30)),"",E29)</x:f>
        <x:v>0</x:v>
      </x:c>
      <x:c r="D30" s="13" t="n">
        <x:f>IF(NOT(ISNUMBER(A30)),"",D29+C30)</x:f>
        <x:v>1000</x:v>
      </x:c>
      <x:c r="E30" s="13" t="n">
        <x:f>IF(NOT(ISNUMBER(A30)),"",MIN(G29,C30*'Outbreak model'!$E$8))</x:f>
        <x:v>0</x:v>
      </x:c>
      <x:c r="F30" s="13" t="n">
        <x:f>IF(NOT(ISNUMBER(A30)),"",F29+E30)</x:f>
        <x:v>1000</x:v>
      </x:c>
      <x:c r="G30" s="13" t="n">
        <x:f>IF(NOT(ISNUMBER(A30)),"",G29-E30)</x:f>
        <x:v>0</x:v>
      </x:c>
      <x:c r="H30" s="14" t="n">
        <x:f>IF(NOT(ISNUMBER(A30)),"",F30/'Outbreak model'!$E$6)</x:f>
        <x:v>1</x:v>
      </x:c>
    </x:row>
    <x:row r="31" ht="24" customHeight="1">
      <x:c r="A31" s="13" t="n">
        <x:f>IF(NOT(ISNUMBER(A30)),"",A30+1)</x:f>
        <x:v>26</x:v>
      </x:c>
      <x:c r="B31" s="13" t="n">
        <x:f>IF(NOT(ISNUMBER(A31)),"",A31*'Outbreak model'!$E$9)</x:f>
        <x:v>312</x:v>
      </x:c>
      <x:c r="C31" s="13" t="n">
        <x:f>IF(NOT(ISNUMBER(A31)),"",E30)</x:f>
        <x:v>0</x:v>
      </x:c>
      <x:c r="D31" s="13" t="n">
        <x:f>IF(NOT(ISNUMBER(A31)),"",D30+C31)</x:f>
        <x:v>1000</x:v>
      </x:c>
      <x:c r="E31" s="13" t="n">
        <x:f>IF(NOT(ISNUMBER(A31)),"",MIN(G30,C31*'Outbreak model'!$E$8))</x:f>
        <x:v>0</x:v>
      </x:c>
      <x:c r="F31" s="13" t="n">
        <x:f>IF(NOT(ISNUMBER(A31)),"",F30+E31)</x:f>
        <x:v>1000</x:v>
      </x:c>
      <x:c r="G31" s="13" t="n">
        <x:f>IF(NOT(ISNUMBER(A31)),"",G30-E31)</x:f>
        <x:v>0</x:v>
      </x:c>
      <x:c r="H31" s="14" t="n">
        <x:f>IF(NOT(ISNUMBER(A31)),"",F31/'Outbreak model'!$E$6)</x:f>
        <x:v>1</x:v>
      </x:c>
    </x:row>
    <x:row r="32" ht="24" customHeight="1">
      <x:c r="A32" s="13" t="n">
        <x:f>IF(NOT(ISNUMBER(A31)),"",A31+1)</x:f>
        <x:v>27</x:v>
      </x:c>
      <x:c r="B32" s="13" t="n">
        <x:f>IF(NOT(ISNUMBER(A32)),"",A32*'Outbreak model'!$E$9)</x:f>
        <x:v>324</x:v>
      </x:c>
      <x:c r="C32" s="13" t="n">
        <x:f>IF(NOT(ISNUMBER(A32)),"",E31)</x:f>
        <x:v>0</x:v>
      </x:c>
      <x:c r="D32" s="13" t="n">
        <x:f>IF(NOT(ISNUMBER(A32)),"",D31+C32)</x:f>
        <x:v>1000</x:v>
      </x:c>
      <x:c r="E32" s="13" t="n">
        <x:f>IF(NOT(ISNUMBER(A32)),"",MIN(G31,C32*'Outbreak model'!$E$8))</x:f>
        <x:v>0</x:v>
      </x:c>
      <x:c r="F32" s="13" t="n">
        <x:f>IF(NOT(ISNUMBER(A32)),"",F31+E32)</x:f>
        <x:v>1000</x:v>
      </x:c>
      <x:c r="G32" s="13" t="n">
        <x:f>IF(NOT(ISNUMBER(A32)),"",G31-E32)</x:f>
        <x:v>0</x:v>
      </x:c>
      <x:c r="H32" s="14" t="n">
        <x:f>IF(NOT(ISNUMBER(A32)),"",F32/'Outbreak model'!$E$6)</x:f>
        <x:v>1</x:v>
      </x:c>
    </x:row>
    <x:row r="33" ht="24" customHeight="1">
      <x:c r="A33" s="13" t="n">
        <x:f>IF(NOT(ISNUMBER(A32)),"",A32+1)</x:f>
        <x:v>28</x:v>
      </x:c>
      <x:c r="B33" s="13" t="n">
        <x:f>IF(NOT(ISNUMBER(A33)),"",A33*'Outbreak model'!$E$9)</x:f>
        <x:v>336</x:v>
      </x:c>
      <x:c r="C33" s="13" t="n">
        <x:f>IF(NOT(ISNUMBER(A33)),"",E32)</x:f>
        <x:v>0</x:v>
      </x:c>
      <x:c r="D33" s="13" t="n">
        <x:f>IF(NOT(ISNUMBER(A33)),"",D32+C33)</x:f>
        <x:v>1000</x:v>
      </x:c>
      <x:c r="E33" s="13" t="n">
        <x:f>IF(NOT(ISNUMBER(A33)),"",MIN(G32,C33*'Outbreak model'!$E$8))</x:f>
        <x:v>0</x:v>
      </x:c>
      <x:c r="F33" s="13" t="n">
        <x:f>IF(NOT(ISNUMBER(A33)),"",F32+E33)</x:f>
        <x:v>1000</x:v>
      </x:c>
      <x:c r="G33" s="13" t="n">
        <x:f>IF(NOT(ISNUMBER(A33)),"",G32-E33)</x:f>
        <x:v>0</x:v>
      </x:c>
      <x:c r="H33" s="14" t="n">
        <x:f>IF(NOT(ISNUMBER(A33)),"",F33/'Outbreak model'!$E$6)</x:f>
        <x:v>1</x:v>
      </x:c>
    </x:row>
    <x:row r="34" ht="24" customHeight="1">
      <x:c r="A34" s="13" t="n">
        <x:f>IF(NOT(ISNUMBER(A33)),"",A33+1)</x:f>
        <x:v>29</x:v>
      </x:c>
      <x:c r="B34" s="13" t="n">
        <x:f>IF(NOT(ISNUMBER(A34)),"",A34*'Outbreak model'!$E$9)</x:f>
        <x:v>348</x:v>
      </x:c>
      <x:c r="C34" s="13" t="n">
        <x:f>IF(NOT(ISNUMBER(A34)),"",E33)</x:f>
        <x:v>0</x:v>
      </x:c>
      <x:c r="D34" s="13" t="n">
        <x:f>IF(NOT(ISNUMBER(A34)),"",D33+C34)</x:f>
        <x:v>1000</x:v>
      </x:c>
      <x:c r="E34" s="13" t="n">
        <x:f>IF(NOT(ISNUMBER(A34)),"",MIN(G33,C34*'Outbreak model'!$E$8))</x:f>
        <x:v>0</x:v>
      </x:c>
      <x:c r="F34" s="13" t="n">
        <x:f>IF(NOT(ISNUMBER(A34)),"",F33+E34)</x:f>
        <x:v>1000</x:v>
      </x:c>
      <x:c r="G34" s="13" t="n">
        <x:f>IF(NOT(ISNUMBER(A34)),"",G33-E34)</x:f>
        <x:v>0</x:v>
      </x:c>
      <x:c r="H34" s="14" t="n">
        <x:f>IF(NOT(ISNUMBER(A34)),"",F34/'Outbreak model'!$E$6)</x:f>
        <x:v>1</x:v>
      </x:c>
    </x:row>
    <x:row r="35" ht="24" customHeight="1">
      <x:c r="A35" s="13" t="n">
        <x:f>IF(NOT(ISNUMBER(A34)),"",A34+1)</x:f>
        <x:v>30</x:v>
      </x:c>
      <x:c r="B35" s="13" t="n">
        <x:f>IF(NOT(ISNUMBER(A35)),"",A35*'Outbreak model'!$E$9)</x:f>
        <x:v>360</x:v>
      </x:c>
      <x:c r="C35" s="13" t="n">
        <x:f>IF(NOT(ISNUMBER(A35)),"",E34)</x:f>
        <x:v>0</x:v>
      </x:c>
      <x:c r="D35" s="13" t="n">
        <x:f>IF(NOT(ISNUMBER(A35)),"",D34+C35)</x:f>
        <x:v>1000</x:v>
      </x:c>
      <x:c r="E35" s="13" t="n">
        <x:f>IF(NOT(ISNUMBER(A35)),"",MIN(G34,C35*'Outbreak model'!$E$8))</x:f>
        <x:v>0</x:v>
      </x:c>
      <x:c r="F35" s="13" t="n">
        <x:f>IF(NOT(ISNUMBER(A35)),"",F34+E35)</x:f>
        <x:v>1000</x:v>
      </x:c>
      <x:c r="G35" s="13" t="n">
        <x:f>IF(NOT(ISNUMBER(A35)),"",G34-E35)</x:f>
        <x:v>0</x:v>
      </x:c>
      <x:c r="H35" s="14" t="n">
        <x:f>IF(NOT(ISNUMBER(A35)),"",F35/'Outbreak model'!$E$6)</x:f>
        <x:v>1</x:v>
      </x:c>
    </x:row>
    <x:row r="36" ht="24" customHeight="1">
      <x:c r="A36" s="13" t="n">
        <x:f>IF(NOT(ISNUMBER(A35)),"",A35+1)</x:f>
        <x:v>31</x:v>
      </x:c>
      <x:c r="B36" s="13" t="n">
        <x:f>IF(NOT(ISNUMBER(A36)),"",A36*'Outbreak model'!$E$9)</x:f>
        <x:v>372</x:v>
      </x:c>
      <x:c r="C36" s="13" t="n">
        <x:f>IF(NOT(ISNUMBER(A36)),"",E35)</x:f>
        <x:v>0</x:v>
      </x:c>
      <x:c r="D36" s="13" t="n">
        <x:f>IF(NOT(ISNUMBER(A36)),"",D35+C36)</x:f>
        <x:v>1000</x:v>
      </x:c>
      <x:c r="E36" s="13" t="n">
        <x:f>IF(NOT(ISNUMBER(A36)),"",MIN(G35,C36*'Outbreak model'!$E$8))</x:f>
        <x:v>0</x:v>
      </x:c>
      <x:c r="F36" s="13" t="n">
        <x:f>IF(NOT(ISNUMBER(A36)),"",F35+E36)</x:f>
        <x:v>1000</x:v>
      </x:c>
      <x:c r="G36" s="13" t="n">
        <x:f>IF(NOT(ISNUMBER(A36)),"",G35-E36)</x:f>
        <x:v>0</x:v>
      </x:c>
      <x:c r="H36" s="14" t="n">
        <x:f>IF(NOT(ISNUMBER(A36)),"",F36/'Outbreak model'!$E$6)</x:f>
        <x:v>1</x:v>
      </x:c>
    </x:row>
    <x:row r="37" ht="24" customHeight="1">
      <x:c r="A37" s="13" t="n">
        <x:f>IF(NOT(ISNUMBER(A36)),"",A36+1)</x:f>
        <x:v>32</x:v>
      </x:c>
      <x:c r="B37" s="13" t="n">
        <x:f>IF(NOT(ISNUMBER(A37)),"",A37*'Outbreak model'!$E$9)</x:f>
        <x:v>384</x:v>
      </x:c>
      <x:c r="C37" s="13" t="n">
        <x:f>IF(NOT(ISNUMBER(A37)),"",E36)</x:f>
        <x:v>0</x:v>
      </x:c>
      <x:c r="D37" s="13" t="n">
        <x:f>IF(NOT(ISNUMBER(A37)),"",D36+C37)</x:f>
        <x:v>1000</x:v>
      </x:c>
      <x:c r="E37" s="13" t="n">
        <x:f>IF(NOT(ISNUMBER(A37)),"",MIN(G36,C37*'Outbreak model'!$E$8))</x:f>
        <x:v>0</x:v>
      </x:c>
      <x:c r="F37" s="13" t="n">
        <x:f>IF(NOT(ISNUMBER(A37)),"",F36+E37)</x:f>
        <x:v>1000</x:v>
      </x:c>
      <x:c r="G37" s="13" t="n">
        <x:f>IF(NOT(ISNUMBER(A37)),"",G36-E37)</x:f>
        <x:v>0</x:v>
      </x:c>
      <x:c r="H37" s="14" t="n">
        <x:f>IF(NOT(ISNUMBER(A37)),"",F37/'Outbreak model'!$E$6)</x:f>
        <x:v>1</x:v>
      </x:c>
    </x:row>
    <x:row r="38" ht="24" customHeight="1">
      <x:c r="A38" s="13" t="n">
        <x:f>IF(NOT(ISNUMBER(A37)),"",A37+1)</x:f>
        <x:v>33</x:v>
      </x:c>
      <x:c r="B38" s="13" t="n">
        <x:f>IF(NOT(ISNUMBER(A38)),"",A38*'Outbreak model'!$E$9)</x:f>
        <x:v>396</x:v>
      </x:c>
      <x:c r="C38" s="13" t="n">
        <x:f>IF(NOT(ISNUMBER(A38)),"",E37)</x:f>
        <x:v>0</x:v>
      </x:c>
      <x:c r="D38" s="13" t="n">
        <x:f>IF(NOT(ISNUMBER(A38)),"",D37+C38)</x:f>
        <x:v>1000</x:v>
      </x:c>
      <x:c r="E38" s="13" t="n">
        <x:f>IF(NOT(ISNUMBER(A38)),"",MIN(G37,C38*'Outbreak model'!$E$8))</x:f>
        <x:v>0</x:v>
      </x:c>
      <x:c r="F38" s="13" t="n">
        <x:f>IF(NOT(ISNUMBER(A38)),"",F37+E38)</x:f>
        <x:v>1000</x:v>
      </x:c>
      <x:c r="G38" s="13" t="n">
        <x:f>IF(NOT(ISNUMBER(A38)),"",G37-E38)</x:f>
        <x:v>0</x:v>
      </x:c>
      <x:c r="H38" s="14" t="n">
        <x:f>IF(NOT(ISNUMBER(A38)),"",F38/'Outbreak model'!$E$6)</x:f>
        <x:v>1</x:v>
      </x:c>
    </x:row>
    <x:row r="39" ht="24" customHeight="1">
      <x:c r="A39" s="13" t="n">
        <x:f>IF(NOT(ISNUMBER(A38)),"",A38+1)</x:f>
        <x:v>34</x:v>
      </x:c>
      <x:c r="B39" s="13" t="n">
        <x:f>IF(NOT(ISNUMBER(A39)),"",A39*'Outbreak model'!$E$9)</x:f>
        <x:v>408</x:v>
      </x:c>
      <x:c r="C39" s="13" t="n">
        <x:f>IF(NOT(ISNUMBER(A39)),"",E38)</x:f>
        <x:v>0</x:v>
      </x:c>
      <x:c r="D39" s="13" t="n">
        <x:f>IF(NOT(ISNUMBER(A39)),"",D38+C39)</x:f>
        <x:v>1000</x:v>
      </x:c>
      <x:c r="E39" s="13" t="n">
        <x:f>IF(NOT(ISNUMBER(A39)),"",MIN(G38,C39*'Outbreak model'!$E$8))</x:f>
        <x:v>0</x:v>
      </x:c>
      <x:c r="F39" s="13" t="n">
        <x:f>IF(NOT(ISNUMBER(A39)),"",F38+E39)</x:f>
        <x:v>1000</x:v>
      </x:c>
      <x:c r="G39" s="13" t="n">
        <x:f>IF(NOT(ISNUMBER(A39)),"",G38-E39)</x:f>
        <x:v>0</x:v>
      </x:c>
      <x:c r="H39" s="14" t="n">
        <x:f>IF(NOT(ISNUMBER(A39)),"",F39/'Outbreak model'!$E$6)</x:f>
        <x:v>1</x:v>
      </x:c>
    </x:row>
    <x:row r="40" ht="24" customHeight="1">
      <x:c r="A40" s="13" t="n">
        <x:f>IF(NOT(ISNUMBER(A39)),"",A39+1)</x:f>
        <x:v>35</x:v>
      </x:c>
      <x:c r="B40" s="13" t="n">
        <x:f>IF(NOT(ISNUMBER(A40)),"",A40*'Outbreak model'!$E$9)</x:f>
        <x:v>420</x:v>
      </x:c>
      <x:c r="C40" s="13" t="n">
        <x:f>IF(NOT(ISNUMBER(A40)),"",E39)</x:f>
        <x:v>0</x:v>
      </x:c>
      <x:c r="D40" s="13" t="n">
        <x:f>IF(NOT(ISNUMBER(A40)),"",D39+C40)</x:f>
        <x:v>1000</x:v>
      </x:c>
      <x:c r="E40" s="13" t="n">
        <x:f>IF(NOT(ISNUMBER(A40)),"",MIN(G39,C40*'Outbreak model'!$E$8))</x:f>
        <x:v>0</x:v>
      </x:c>
      <x:c r="F40" s="13" t="n">
        <x:f>IF(NOT(ISNUMBER(A40)),"",F39+E40)</x:f>
        <x:v>1000</x:v>
      </x:c>
      <x:c r="G40" s="13" t="n">
        <x:f>IF(NOT(ISNUMBER(A40)),"",G39-E40)</x:f>
        <x:v>0</x:v>
      </x:c>
      <x:c r="H40" s="14" t="n">
        <x:f>IF(NOT(ISNUMBER(A40)),"",F40/'Outbreak model'!$E$6)</x:f>
        <x:v>1</x:v>
      </x:c>
    </x:row>
    <x:row r="41" ht="24" customHeight="1">
      <x:c r="A41" s="13" t="n">
        <x:f>IF(NOT(ISNUMBER(A40)),"",A40+1)</x:f>
        <x:v>36</x:v>
      </x:c>
      <x:c r="B41" s="13" t="n">
        <x:f>IF(NOT(ISNUMBER(A41)),"",A41*'Outbreak model'!$E$9)</x:f>
        <x:v>432</x:v>
      </x:c>
      <x:c r="C41" s="13" t="n">
        <x:f>IF(NOT(ISNUMBER(A41)),"",E40)</x:f>
        <x:v>0</x:v>
      </x:c>
      <x:c r="D41" s="13" t="n">
        <x:f>IF(NOT(ISNUMBER(A41)),"",D40+C41)</x:f>
        <x:v>1000</x:v>
      </x:c>
      <x:c r="E41" s="13" t="n">
        <x:f>IF(NOT(ISNUMBER(A41)),"",MIN(G40,C41*'Outbreak model'!$E$8))</x:f>
        <x:v>0</x:v>
      </x:c>
      <x:c r="F41" s="13" t="n">
        <x:f>IF(NOT(ISNUMBER(A41)),"",F40+E41)</x:f>
        <x:v>1000</x:v>
      </x:c>
      <x:c r="G41" s="13" t="n">
        <x:f>IF(NOT(ISNUMBER(A41)),"",G40-E41)</x:f>
        <x:v>0</x:v>
      </x:c>
      <x:c r="H41" s="14" t="n">
        <x:f>IF(NOT(ISNUMBER(A41)),"",F41/'Outbreak model'!$E$6)</x:f>
        <x:v>1</x:v>
      </x:c>
    </x:row>
    <x:row r="42" ht="24" customHeight="1">
      <x:c r="A42" s="13" t="n">
        <x:f>IF(NOT(ISNUMBER(A41)),"",A41+1)</x:f>
        <x:v>37</x:v>
      </x:c>
      <x:c r="B42" s="13" t="n">
        <x:f>IF(NOT(ISNUMBER(A42)),"",A42*'Outbreak model'!$E$9)</x:f>
        <x:v>444</x:v>
      </x:c>
      <x:c r="C42" s="13" t="n">
        <x:f>IF(NOT(ISNUMBER(A42)),"",E41)</x:f>
        <x:v>0</x:v>
      </x:c>
      <x:c r="D42" s="13" t="n">
        <x:f>IF(NOT(ISNUMBER(A42)),"",D41+C42)</x:f>
        <x:v>1000</x:v>
      </x:c>
      <x:c r="E42" s="13" t="n">
        <x:f>IF(NOT(ISNUMBER(A42)),"",MIN(G41,C42*'Outbreak model'!$E$8))</x:f>
        <x:v>0</x:v>
      </x:c>
      <x:c r="F42" s="13" t="n">
        <x:f>IF(NOT(ISNUMBER(A42)),"",F41+E42)</x:f>
        <x:v>1000</x:v>
      </x:c>
      <x:c r="G42" s="13" t="n">
        <x:f>IF(NOT(ISNUMBER(A42)),"",G41-E42)</x:f>
        <x:v>0</x:v>
      </x:c>
      <x:c r="H42" s="14" t="n">
        <x:f>IF(NOT(ISNUMBER(A42)),"",F42/'Outbreak model'!$E$6)</x:f>
        <x:v>1</x:v>
      </x:c>
    </x:row>
    <x:row r="43" ht="24" customHeight="1">
      <x:c r="A43" s="13" t="n">
        <x:f>IF(NOT(ISNUMBER(A42)),"",A42+1)</x:f>
        <x:v>38</x:v>
      </x:c>
      <x:c r="B43" s="13" t="n">
        <x:f>IF(NOT(ISNUMBER(A43)),"",A43*'Outbreak model'!$E$9)</x:f>
        <x:v>456</x:v>
      </x:c>
      <x:c r="C43" s="13" t="n">
        <x:f>IF(NOT(ISNUMBER(A43)),"",E42)</x:f>
        <x:v>0</x:v>
      </x:c>
      <x:c r="D43" s="13" t="n">
        <x:f>IF(NOT(ISNUMBER(A43)),"",D42+C43)</x:f>
        <x:v>1000</x:v>
      </x:c>
      <x:c r="E43" s="13" t="n">
        <x:f>IF(NOT(ISNUMBER(A43)),"",MIN(G42,C43*'Outbreak model'!$E$8))</x:f>
        <x:v>0</x:v>
      </x:c>
      <x:c r="F43" s="13" t="n">
        <x:f>IF(NOT(ISNUMBER(A43)),"",F42+E43)</x:f>
        <x:v>1000</x:v>
      </x:c>
      <x:c r="G43" s="13" t="n">
        <x:f>IF(NOT(ISNUMBER(A43)),"",G42-E43)</x:f>
        <x:v>0</x:v>
      </x:c>
      <x:c r="H43" s="14" t="n">
        <x:f>IF(NOT(ISNUMBER(A43)),"",F43/'Outbreak model'!$E$6)</x:f>
        <x:v>1</x:v>
      </x:c>
    </x:row>
    <x:row r="44" ht="24" customHeight="1">
      <x:c r="A44" s="13" t="n">
        <x:f>IF(NOT(ISNUMBER(A43)),"",A43+1)</x:f>
        <x:v>39</x:v>
      </x:c>
      <x:c r="B44" s="13" t="n">
        <x:f>IF(NOT(ISNUMBER(A44)),"",A44*'Outbreak model'!$E$9)</x:f>
        <x:v>468</x:v>
      </x:c>
      <x:c r="C44" s="13" t="n">
        <x:f>IF(NOT(ISNUMBER(A44)),"",E43)</x:f>
        <x:v>0</x:v>
      </x:c>
      <x:c r="D44" s="13" t="n">
        <x:f>IF(NOT(ISNUMBER(A44)),"",D43+C44)</x:f>
        <x:v>1000</x:v>
      </x:c>
      <x:c r="E44" s="13" t="n">
        <x:f>IF(NOT(ISNUMBER(A44)),"",MIN(G43,C44*'Outbreak model'!$E$8))</x:f>
        <x:v>0</x:v>
      </x:c>
      <x:c r="F44" s="13" t="n">
        <x:f>IF(NOT(ISNUMBER(A44)),"",F43+E44)</x:f>
        <x:v>1000</x:v>
      </x:c>
      <x:c r="G44" s="13" t="n">
        <x:f>IF(NOT(ISNUMBER(A44)),"",G43-E44)</x:f>
        <x:v>0</x:v>
      </x:c>
      <x:c r="H44" s="14" t="n">
        <x:f>IF(NOT(ISNUMBER(A44)),"",F44/'Outbreak model'!$E$6)</x:f>
        <x:v>1</x:v>
      </x:c>
    </x:row>
    <x:row r="45" ht="24" customHeight="1">
      <x:c r="A45" s="13" t="n">
        <x:f>IF(NOT(ISNUMBER(A44)),"",A44+1)</x:f>
        <x:v>40</x:v>
      </x:c>
      <x:c r="B45" s="13" t="n">
        <x:f>IF(NOT(ISNUMBER(A45)),"",A45*'Outbreak model'!$E$9)</x:f>
        <x:v>480</x:v>
      </x:c>
      <x:c r="C45" s="13" t="n">
        <x:f>IF(NOT(ISNUMBER(A45)),"",E44)</x:f>
        <x:v>0</x:v>
      </x:c>
      <x:c r="D45" s="13" t="n">
        <x:f>IF(NOT(ISNUMBER(A45)),"",D44+C45)</x:f>
        <x:v>1000</x:v>
      </x:c>
      <x:c r="E45" s="13" t="n">
        <x:f>IF(NOT(ISNUMBER(A45)),"",MIN(G44,C45*'Outbreak model'!$E$8))</x:f>
        <x:v>0</x:v>
      </x:c>
      <x:c r="F45" s="13" t="n">
        <x:f>IF(NOT(ISNUMBER(A45)),"",F44+E45)</x:f>
        <x:v>1000</x:v>
      </x:c>
      <x:c r="G45" s="13" t="n">
        <x:f>IF(NOT(ISNUMBER(A45)),"",G44-E45)</x:f>
        <x:v>0</x:v>
      </x:c>
      <x:c r="H45" s="14" t="n">
        <x:f>IF(NOT(ISNUMBER(A45)),"",F45/'Outbreak model'!$E$6)</x:f>
        <x:v>1</x:v>
      </x:c>
    </x:row>
    <x:row r="46" ht="24" customHeight="1">
      <x:c r="A46" s="13" t="n">
        <x:f>IF(NOT(ISNUMBER(A45)),"",A45+1)</x:f>
        <x:v>41</x:v>
      </x:c>
      <x:c r="B46" s="13" t="n">
        <x:f>IF(NOT(ISNUMBER(A46)),"",A46*'Outbreak model'!$E$9)</x:f>
        <x:v>492</x:v>
      </x:c>
      <x:c r="C46" s="13" t="n">
        <x:f>IF(NOT(ISNUMBER(A46)),"",E45)</x:f>
        <x:v>0</x:v>
      </x:c>
      <x:c r="D46" s="13" t="n">
        <x:f>IF(NOT(ISNUMBER(A46)),"",D45+C46)</x:f>
        <x:v>1000</x:v>
      </x:c>
      <x:c r="E46" s="13" t="n">
        <x:f>IF(NOT(ISNUMBER(A46)),"",MIN(G45,C46*'Outbreak model'!$E$8))</x:f>
        <x:v>0</x:v>
      </x:c>
      <x:c r="F46" s="13" t="n">
        <x:f>IF(NOT(ISNUMBER(A46)),"",F45+E46)</x:f>
        <x:v>1000</x:v>
      </x:c>
      <x:c r="G46" s="13" t="n">
        <x:f>IF(NOT(ISNUMBER(A46)),"",G45-E46)</x:f>
        <x:v>0</x:v>
      </x:c>
      <x:c r="H46" s="14" t="n">
        <x:f>IF(NOT(ISNUMBER(A46)),"",F46/'Outbreak model'!$E$6)</x:f>
        <x:v>1</x:v>
      </x:c>
    </x:row>
    <x:row r="47" ht="24" customHeight="1">
      <x:c r="A47" s="13" t="n">
        <x:f>IF(NOT(ISNUMBER(A46)),"",A46+1)</x:f>
        <x:v>42</x:v>
      </x:c>
      <x:c r="B47" s="13" t="n">
        <x:f>IF(NOT(ISNUMBER(A47)),"",A47*'Outbreak model'!$E$9)</x:f>
        <x:v>504</x:v>
      </x:c>
      <x:c r="C47" s="13" t="n">
        <x:f>IF(NOT(ISNUMBER(A47)),"",E46)</x:f>
        <x:v>0</x:v>
      </x:c>
      <x:c r="D47" s="13" t="n">
        <x:f>IF(NOT(ISNUMBER(A47)),"",D46+C47)</x:f>
        <x:v>1000</x:v>
      </x:c>
      <x:c r="E47" s="13" t="n">
        <x:f>IF(NOT(ISNUMBER(A47)),"",MIN(G46,C47*'Outbreak model'!$E$8))</x:f>
        <x:v>0</x:v>
      </x:c>
      <x:c r="F47" s="13" t="n">
        <x:f>IF(NOT(ISNUMBER(A47)),"",F46+E47)</x:f>
        <x:v>1000</x:v>
      </x:c>
      <x:c r="G47" s="13" t="n">
        <x:f>IF(NOT(ISNUMBER(A47)),"",G46-E47)</x:f>
        <x:v>0</x:v>
      </x:c>
      <x:c r="H47" s="14" t="n">
        <x:f>IF(NOT(ISNUMBER(A47)),"",F47/'Outbreak model'!$E$6)</x:f>
        <x:v>1</x:v>
      </x:c>
    </x:row>
    <x:row r="48" ht="24" customHeight="1">
      <x:c r="A48" s="13" t="n">
        <x:f>IF(NOT(ISNUMBER(A47)),"",A47+1)</x:f>
        <x:v>43</x:v>
      </x:c>
      <x:c r="B48" s="13" t="n">
        <x:f>IF(NOT(ISNUMBER(A48)),"",A48*'Outbreak model'!$E$9)</x:f>
        <x:v>516</x:v>
      </x:c>
      <x:c r="C48" s="13" t="n">
        <x:f>IF(NOT(ISNUMBER(A48)),"",E47)</x:f>
        <x:v>0</x:v>
      </x:c>
      <x:c r="D48" s="13" t="n">
        <x:f>IF(NOT(ISNUMBER(A48)),"",D47+C48)</x:f>
        <x:v>1000</x:v>
      </x:c>
      <x:c r="E48" s="13" t="n">
        <x:f>IF(NOT(ISNUMBER(A48)),"",MIN(G47,C48*'Outbreak model'!$E$8))</x:f>
        <x:v>0</x:v>
      </x:c>
      <x:c r="F48" s="13" t="n">
        <x:f>IF(NOT(ISNUMBER(A48)),"",F47+E48)</x:f>
        <x:v>1000</x:v>
      </x:c>
      <x:c r="G48" s="13" t="n">
        <x:f>IF(NOT(ISNUMBER(A48)),"",G47-E48)</x:f>
        <x:v>0</x:v>
      </x:c>
      <x:c r="H48" s="14" t="n">
        <x:f>IF(NOT(ISNUMBER(A48)),"",F48/'Outbreak model'!$E$6)</x:f>
        <x:v>1</x:v>
      </x:c>
    </x:row>
    <x:row r="49" ht="24" customHeight="1">
      <x:c r="A49" s="13" t="n">
        <x:f>IF(NOT(ISNUMBER(A48)),"",A48+1)</x:f>
        <x:v>44</x:v>
      </x:c>
      <x:c r="B49" s="13" t="n">
        <x:f>IF(NOT(ISNUMBER(A49)),"",A49*'Outbreak model'!$E$9)</x:f>
        <x:v>528</x:v>
      </x:c>
      <x:c r="C49" s="13" t="n">
        <x:f>IF(NOT(ISNUMBER(A49)),"",E48)</x:f>
        <x:v>0</x:v>
      </x:c>
      <x:c r="D49" s="13" t="n">
        <x:f>IF(NOT(ISNUMBER(A49)),"",D48+C49)</x:f>
        <x:v>1000</x:v>
      </x:c>
      <x:c r="E49" s="13" t="n">
        <x:f>IF(NOT(ISNUMBER(A49)),"",MIN(G48,C49*'Outbreak model'!$E$8))</x:f>
        <x:v>0</x:v>
      </x:c>
      <x:c r="F49" s="13" t="n">
        <x:f>IF(NOT(ISNUMBER(A49)),"",F48+E49)</x:f>
        <x:v>1000</x:v>
      </x:c>
      <x:c r="G49" s="13" t="n">
        <x:f>IF(NOT(ISNUMBER(A49)),"",G48-E49)</x:f>
        <x:v>0</x:v>
      </x:c>
      <x:c r="H49" s="14" t="n">
        <x:f>IF(NOT(ISNUMBER(A49)),"",F49/'Outbreak model'!$E$6)</x:f>
        <x:v>1</x:v>
      </x:c>
    </x:row>
    <x:row r="50" ht="24" customHeight="1">
      <x:c r="A50" s="13" t="n">
        <x:f>IF(NOT(ISNUMBER(A49)),"",A49+1)</x:f>
        <x:v>45</x:v>
      </x:c>
      <x:c r="B50" s="13" t="n">
        <x:f>IF(NOT(ISNUMBER(A50)),"",A50*'Outbreak model'!$E$9)</x:f>
        <x:v>540</x:v>
      </x:c>
      <x:c r="C50" s="13" t="n">
        <x:f>IF(NOT(ISNUMBER(A50)),"",E49)</x:f>
        <x:v>0</x:v>
      </x:c>
      <x:c r="D50" s="13" t="n">
        <x:f>IF(NOT(ISNUMBER(A50)),"",D49+C50)</x:f>
        <x:v>1000</x:v>
      </x:c>
      <x:c r="E50" s="13" t="n">
        <x:f>IF(NOT(ISNUMBER(A50)),"",MIN(G49,C50*'Outbreak model'!$E$8))</x:f>
        <x:v>0</x:v>
      </x:c>
      <x:c r="F50" s="13" t="n">
        <x:f>IF(NOT(ISNUMBER(A50)),"",F49+E50)</x:f>
        <x:v>1000</x:v>
      </x:c>
      <x:c r="G50" s="13" t="n">
        <x:f>IF(NOT(ISNUMBER(A50)),"",G49-E50)</x:f>
        <x:v>0</x:v>
      </x:c>
      <x:c r="H50" s="14" t="n">
        <x:f>IF(NOT(ISNUMBER(A50)),"",F50/'Outbreak model'!$E$6)</x:f>
        <x:v>1</x:v>
      </x:c>
    </x:row>
    <x:row r="51" ht="24" customHeight="1">
      <x:c r="A51" s="13" t="n">
        <x:f>IF(NOT(ISNUMBER(A50)),"",A50+1)</x:f>
        <x:v>46</x:v>
      </x:c>
      <x:c r="B51" s="13" t="n">
        <x:f>IF(NOT(ISNUMBER(A51)),"",A51*'Outbreak model'!$E$9)</x:f>
        <x:v>552</x:v>
      </x:c>
      <x:c r="C51" s="13" t="n">
        <x:f>IF(NOT(ISNUMBER(A51)),"",E50)</x:f>
        <x:v>0</x:v>
      </x:c>
      <x:c r="D51" s="13" t="n">
        <x:f>IF(NOT(ISNUMBER(A51)),"",D50+C51)</x:f>
        <x:v>1000</x:v>
      </x:c>
      <x:c r="E51" s="13" t="n">
        <x:f>IF(NOT(ISNUMBER(A51)),"",MIN(G50,C51*'Outbreak model'!$E$8))</x:f>
        <x:v>0</x:v>
      </x:c>
      <x:c r="F51" s="13" t="n">
        <x:f>IF(NOT(ISNUMBER(A51)),"",F50+E51)</x:f>
        <x:v>1000</x:v>
      </x:c>
      <x:c r="G51" s="13" t="n">
        <x:f>IF(NOT(ISNUMBER(A51)),"",G50-E51)</x:f>
        <x:v>0</x:v>
      </x:c>
      <x:c r="H51" s="14" t="n">
        <x:f>IF(NOT(ISNUMBER(A51)),"",F51/'Outbreak model'!$E$6)</x:f>
        <x:v>1</x:v>
      </x:c>
    </x:row>
    <x:row r="52" ht="24" customHeight="1">
      <x:c r="A52" s="13" t="n">
        <x:f>IF(NOT(ISNUMBER(A51)),"",A51+1)</x:f>
        <x:v>47</x:v>
      </x:c>
      <x:c r="B52" s="13" t="n">
        <x:f>IF(NOT(ISNUMBER(A52)),"",A52*'Outbreak model'!$E$9)</x:f>
        <x:v>564</x:v>
      </x:c>
      <x:c r="C52" s="13" t="n">
        <x:f>IF(NOT(ISNUMBER(A52)),"",E51)</x:f>
        <x:v>0</x:v>
      </x:c>
      <x:c r="D52" s="13" t="n">
        <x:f>IF(NOT(ISNUMBER(A52)),"",D51+C52)</x:f>
        <x:v>1000</x:v>
      </x:c>
      <x:c r="E52" s="13" t="n">
        <x:f>IF(NOT(ISNUMBER(A52)),"",MIN(G51,C52*'Outbreak model'!$E$8))</x:f>
        <x:v>0</x:v>
      </x:c>
      <x:c r="F52" s="13" t="n">
        <x:f>IF(NOT(ISNUMBER(A52)),"",F51+E52)</x:f>
        <x:v>1000</x:v>
      </x:c>
      <x:c r="G52" s="13" t="n">
        <x:f>IF(NOT(ISNUMBER(A52)),"",G51-E52)</x:f>
        <x:v>0</x:v>
      </x:c>
      <x:c r="H52" s="14" t="n">
        <x:f>IF(NOT(ISNUMBER(A52)),"",F52/'Outbreak model'!$E$6)</x:f>
        <x:v>1</x:v>
      </x:c>
    </x:row>
    <x:row r="53" ht="24" customHeight="1">
      <x:c r="A53" s="13" t="n">
        <x:f>IF(NOT(ISNUMBER(A52)),"",A52+1)</x:f>
        <x:v>48</x:v>
      </x:c>
      <x:c r="B53" s="13" t="n">
        <x:f>IF(NOT(ISNUMBER(A53)),"",A53*'Outbreak model'!$E$9)</x:f>
        <x:v>576</x:v>
      </x:c>
      <x:c r="C53" s="13" t="n">
        <x:f>IF(NOT(ISNUMBER(A53)),"",E52)</x:f>
        <x:v>0</x:v>
      </x:c>
      <x:c r="D53" s="13" t="n">
        <x:f>IF(NOT(ISNUMBER(A53)),"",D52+C53)</x:f>
        <x:v>1000</x:v>
      </x:c>
      <x:c r="E53" s="13" t="n">
        <x:f>IF(NOT(ISNUMBER(A53)),"",MIN(G52,C53*'Outbreak model'!$E$8))</x:f>
        <x:v>0</x:v>
      </x:c>
      <x:c r="F53" s="13" t="n">
        <x:f>IF(NOT(ISNUMBER(A53)),"",F52+E53)</x:f>
        <x:v>1000</x:v>
      </x:c>
      <x:c r="G53" s="13" t="n">
        <x:f>IF(NOT(ISNUMBER(A53)),"",G52-E53)</x:f>
        <x:v>0</x:v>
      </x:c>
      <x:c r="H53" s="14" t="n">
        <x:f>IF(NOT(ISNUMBER(A53)),"",F53/'Outbreak model'!$E$6)</x:f>
        <x:v>1</x:v>
      </x:c>
    </x:row>
    <x:row r="54" ht="24" customHeight="1">
      <x:c r="A54" s="13" t="n">
        <x:f>IF(NOT(ISNUMBER(A53)),"",A53+1)</x:f>
        <x:v>49</x:v>
      </x:c>
      <x:c r="B54" s="13" t="n">
        <x:f>IF(NOT(ISNUMBER(A54)),"",A54*'Outbreak model'!$E$9)</x:f>
        <x:v>588</x:v>
      </x:c>
      <x:c r="C54" s="13" t="n">
        <x:f>IF(NOT(ISNUMBER(A54)),"",E53)</x:f>
        <x:v>0</x:v>
      </x:c>
      <x:c r="D54" s="13" t="n">
        <x:f>IF(NOT(ISNUMBER(A54)),"",D53+C54)</x:f>
        <x:v>1000</x:v>
      </x:c>
      <x:c r="E54" s="13" t="n">
        <x:f>IF(NOT(ISNUMBER(A54)),"",MIN(G53,C54*'Outbreak model'!$E$8))</x:f>
        <x:v>0</x:v>
      </x:c>
      <x:c r="F54" s="13" t="n">
        <x:f>IF(NOT(ISNUMBER(A54)),"",F53+E54)</x:f>
        <x:v>1000</x:v>
      </x:c>
      <x:c r="G54" s="13" t="n">
        <x:f>IF(NOT(ISNUMBER(A54)),"",G53-E54)</x:f>
        <x:v>0</x:v>
      </x:c>
      <x:c r="H54" s="14" t="n">
        <x:f>IF(NOT(ISNUMBER(A54)),"",F54/'Outbreak model'!$E$6)</x:f>
        <x:v>1</x:v>
      </x:c>
    </x:row>
    <x:row r="55" ht="24" customHeight="1">
      <x:c r="A55" s="13" t="n">
        <x:f>IF(NOT(ISNUMBER(A54)),"",A54+1)</x:f>
        <x:v>50</x:v>
      </x:c>
      <x:c r="B55" s="13" t="n">
        <x:f>IF(NOT(ISNUMBER(A55)),"",A55*'Outbreak model'!$E$9)</x:f>
        <x:v>600</x:v>
      </x:c>
      <x:c r="C55" s="13" t="n">
        <x:f>IF(NOT(ISNUMBER(A55)),"",E54)</x:f>
        <x:v>0</x:v>
      </x:c>
      <x:c r="D55" s="13" t="n">
        <x:f>IF(NOT(ISNUMBER(A55)),"",D54+C55)</x:f>
        <x:v>1000</x:v>
      </x:c>
      <x:c r="E55" s="13" t="n">
        <x:f>IF(NOT(ISNUMBER(A55)),"",MIN(G54,C55*'Outbreak model'!$E$8))</x:f>
        <x:v>0</x:v>
      </x:c>
      <x:c r="F55" s="13" t="n">
        <x:f>IF(NOT(ISNUMBER(A55)),"",F54+E55)</x:f>
        <x:v>1000</x:v>
      </x:c>
      <x:c r="G55" s="13" t="n">
        <x:f>IF(NOT(ISNUMBER(A55)),"",G54-E55)</x:f>
        <x:v>0</x:v>
      </x:c>
      <x:c r="H55" s="14" t="n">
        <x:f>IF(NOT(ISNUMBER(A55)),"",F55/'Outbreak model'!$E$6)</x:f>
        <x:v>1</x:v>
      </x:c>
    </x:row>
    <x:row r="56" ht="24" customHeight="1">
      <x:c r="A56" s="13" t="n">
        <x:f>IF(NOT(ISNUMBER(A55)),"",A55+1)</x:f>
        <x:v>51</x:v>
      </x:c>
      <x:c r="B56" s="13" t="n">
        <x:f>IF(NOT(ISNUMBER(A56)),"",A56*'Outbreak model'!$E$9)</x:f>
        <x:v>612</x:v>
      </x:c>
      <x:c r="C56" s="13" t="n">
        <x:f>IF(NOT(ISNUMBER(A56)),"",E55)</x:f>
        <x:v>0</x:v>
      </x:c>
      <x:c r="D56" s="13" t="n">
        <x:f>IF(NOT(ISNUMBER(A56)),"",D55+C56)</x:f>
        <x:v>1000</x:v>
      </x:c>
      <x:c r="E56" s="13" t="n">
        <x:f>IF(NOT(ISNUMBER(A56)),"",MIN(G55,C56*'Outbreak model'!$E$8))</x:f>
        <x:v>0</x:v>
      </x:c>
      <x:c r="F56" s="13" t="n">
        <x:f>IF(NOT(ISNUMBER(A56)),"",F55+E56)</x:f>
        <x:v>1000</x:v>
      </x:c>
      <x:c r="G56" s="13" t="n">
        <x:f>IF(NOT(ISNUMBER(A56)),"",G55-E56)</x:f>
        <x:v>0</x:v>
      </x:c>
      <x:c r="H56" s="14" t="n">
        <x:f>IF(NOT(ISNUMBER(A56)),"",F56/'Outbreak model'!$E$6)</x:f>
        <x:v>1</x:v>
      </x:c>
    </x:row>
    <x:row r="57" ht="24" customHeight="1">
      <x:c r="A57" s="13" t="n">
        <x:f>IF(NOT(ISNUMBER(A56)),"",A56+1)</x:f>
        <x:v>52</x:v>
      </x:c>
      <x:c r="B57" s="13" t="n">
        <x:f>IF(NOT(ISNUMBER(A57)),"",A57*'Outbreak model'!$E$9)</x:f>
        <x:v>624</x:v>
      </x:c>
      <x:c r="C57" s="13" t="n">
        <x:f>IF(NOT(ISNUMBER(A57)),"",E56)</x:f>
        <x:v>0</x:v>
      </x:c>
      <x:c r="D57" s="13" t="n">
        <x:f>IF(NOT(ISNUMBER(A57)),"",D56+C57)</x:f>
        <x:v>1000</x:v>
      </x:c>
      <x:c r="E57" s="13" t="n">
        <x:f>IF(NOT(ISNUMBER(A57)),"",MIN(G56,C57*'Outbreak model'!$E$8))</x:f>
        <x:v>0</x:v>
      </x:c>
      <x:c r="F57" s="13" t="n">
        <x:f>IF(NOT(ISNUMBER(A57)),"",F56+E57)</x:f>
        <x:v>1000</x:v>
      </x:c>
      <x:c r="G57" s="13" t="n">
        <x:f>IF(NOT(ISNUMBER(A57)),"",G56-E57)</x:f>
        <x:v>0</x:v>
      </x:c>
      <x:c r="H57" s="14" t="n">
        <x:f>IF(NOT(ISNUMBER(A57)),"",F57/'Outbreak model'!$E$6)</x:f>
        <x:v>1</x:v>
      </x:c>
    </x:row>
    <x:row r="58" ht="24" customHeight="1">
      <x:c r="A58" s="13" t="n">
        <x:f>IF(NOT(ISNUMBER(A57)),"",A57+1)</x:f>
        <x:v>53</x:v>
      </x:c>
      <x:c r="B58" s="13" t="n">
        <x:f>IF(NOT(ISNUMBER(A58)),"",A58*'Outbreak model'!$E$9)</x:f>
        <x:v>636</x:v>
      </x:c>
      <x:c r="C58" s="13" t="n">
        <x:f>IF(NOT(ISNUMBER(A58)),"",E57)</x:f>
        <x:v>0</x:v>
      </x:c>
      <x:c r="D58" s="13" t="n">
        <x:f>IF(NOT(ISNUMBER(A58)),"",D57+C58)</x:f>
        <x:v>1000</x:v>
      </x:c>
      <x:c r="E58" s="13" t="n">
        <x:f>IF(NOT(ISNUMBER(A58)),"",MIN(G57,C58*'Outbreak model'!$E$8))</x:f>
        <x:v>0</x:v>
      </x:c>
      <x:c r="F58" s="13" t="n">
        <x:f>IF(NOT(ISNUMBER(A58)),"",F57+E58)</x:f>
        <x:v>1000</x:v>
      </x:c>
      <x:c r="G58" s="13" t="n">
        <x:f>IF(NOT(ISNUMBER(A58)),"",G57-E58)</x:f>
        <x:v>0</x:v>
      </x:c>
      <x:c r="H58" s="14" t="n">
        <x:f>IF(NOT(ISNUMBER(A58)),"",F58/'Outbreak model'!$E$6)</x:f>
        <x:v>1</x:v>
      </x:c>
    </x:row>
    <x:row r="59" ht="24" customHeight="1">
      <x:c r="A59" s="13" t="n">
        <x:f>IF(NOT(ISNUMBER(A58)),"",A58+1)</x:f>
        <x:v>54</x:v>
      </x:c>
      <x:c r="B59" s="13" t="n">
        <x:f>IF(NOT(ISNUMBER(A59)),"",A59*'Outbreak model'!$E$9)</x:f>
        <x:v>648</x:v>
      </x:c>
      <x:c r="C59" s="13" t="n">
        <x:f>IF(NOT(ISNUMBER(A59)),"",E58)</x:f>
        <x:v>0</x:v>
      </x:c>
      <x:c r="D59" s="13" t="n">
        <x:f>IF(NOT(ISNUMBER(A59)),"",D58+C59)</x:f>
        <x:v>1000</x:v>
      </x:c>
      <x:c r="E59" s="13" t="n">
        <x:f>IF(NOT(ISNUMBER(A59)),"",MIN(G58,C59*'Outbreak model'!$E$8))</x:f>
        <x:v>0</x:v>
      </x:c>
      <x:c r="F59" s="13" t="n">
        <x:f>IF(NOT(ISNUMBER(A59)),"",F58+E59)</x:f>
        <x:v>1000</x:v>
      </x:c>
      <x:c r="G59" s="13" t="n">
        <x:f>IF(NOT(ISNUMBER(A59)),"",G58-E59)</x:f>
        <x:v>0</x:v>
      </x:c>
      <x:c r="H59" s="14" t="n">
        <x:f>IF(NOT(ISNUMBER(A59)),"",F59/'Outbreak model'!$E$6)</x:f>
        <x:v>1</x:v>
      </x:c>
    </x:row>
    <x:row r="60" ht="24" customHeight="1">
      <x:c r="A60" s="13" t="n">
        <x:f>IF(NOT(ISNUMBER(A59)),"",A59+1)</x:f>
        <x:v>55</x:v>
      </x:c>
      <x:c r="B60" s="13" t="n">
        <x:f>IF(NOT(ISNUMBER(A60)),"",A60*'Outbreak model'!$E$9)</x:f>
        <x:v>660</x:v>
      </x:c>
      <x:c r="C60" s="13" t="n">
        <x:f>IF(NOT(ISNUMBER(A60)),"",E59)</x:f>
        <x:v>0</x:v>
      </x:c>
      <x:c r="D60" s="13" t="n">
        <x:f>IF(NOT(ISNUMBER(A60)),"",D59+C60)</x:f>
        <x:v>1000</x:v>
      </x:c>
      <x:c r="E60" s="13" t="n">
        <x:f>IF(NOT(ISNUMBER(A60)),"",MIN(G59,C60*'Outbreak model'!$E$8))</x:f>
        <x:v>0</x:v>
      </x:c>
      <x:c r="F60" s="13" t="n">
        <x:f>IF(NOT(ISNUMBER(A60)),"",F59+E60)</x:f>
        <x:v>1000</x:v>
      </x:c>
      <x:c r="G60" s="13" t="n">
        <x:f>IF(NOT(ISNUMBER(A60)),"",G59-E60)</x:f>
        <x:v>0</x:v>
      </x:c>
      <x:c r="H60" s="14" t="n">
        <x:f>IF(NOT(ISNUMBER(A60)),"",F60/'Outbreak model'!$E$6)</x:f>
        <x:v>1</x:v>
      </x:c>
    </x:row>
    <x:row r="61" ht="24" customHeight="1">
      <x:c r="A61" s="13" t="n">
        <x:f>IF(NOT(ISNUMBER(A60)),"",A60+1)</x:f>
        <x:v>56</x:v>
      </x:c>
      <x:c r="B61" s="13" t="n">
        <x:f>IF(NOT(ISNUMBER(A61)),"",A61*'Outbreak model'!$E$9)</x:f>
        <x:v>672</x:v>
      </x:c>
      <x:c r="C61" s="13" t="n">
        <x:f>IF(NOT(ISNUMBER(A61)),"",E60)</x:f>
        <x:v>0</x:v>
      </x:c>
      <x:c r="D61" s="13" t="n">
        <x:f>IF(NOT(ISNUMBER(A61)),"",D60+C61)</x:f>
        <x:v>1000</x:v>
      </x:c>
      <x:c r="E61" s="13" t="n">
        <x:f>IF(NOT(ISNUMBER(A61)),"",MIN(G60,C61*'Outbreak model'!$E$8))</x:f>
        <x:v>0</x:v>
      </x:c>
      <x:c r="F61" s="13" t="n">
        <x:f>IF(NOT(ISNUMBER(A61)),"",F60+E61)</x:f>
        <x:v>1000</x:v>
      </x:c>
      <x:c r="G61" s="13" t="n">
        <x:f>IF(NOT(ISNUMBER(A61)),"",G60-E61)</x:f>
        <x:v>0</x:v>
      </x:c>
      <x:c r="H61" s="14" t="n">
        <x:f>IF(NOT(ISNUMBER(A61)),"",F61/'Outbreak model'!$E$6)</x:f>
        <x:v>1</x:v>
      </x:c>
    </x:row>
    <x:row r="62" ht="24" customHeight="1">
      <x:c r="A62" s="13" t="n">
        <x:f>IF(NOT(ISNUMBER(A61)),"",A61+1)</x:f>
        <x:v>57</x:v>
      </x:c>
      <x:c r="B62" s="13" t="n">
        <x:f>IF(NOT(ISNUMBER(A62)),"",A62*'Outbreak model'!$E$9)</x:f>
        <x:v>684</x:v>
      </x:c>
      <x:c r="C62" s="13" t="n">
        <x:f>IF(NOT(ISNUMBER(A62)),"",E61)</x:f>
        <x:v>0</x:v>
      </x:c>
      <x:c r="D62" s="13" t="n">
        <x:f>IF(NOT(ISNUMBER(A62)),"",D61+C62)</x:f>
        <x:v>1000</x:v>
      </x:c>
      <x:c r="E62" s="13" t="n">
        <x:f>IF(NOT(ISNUMBER(A62)),"",MIN(G61,C62*'Outbreak model'!$E$8))</x:f>
        <x:v>0</x:v>
      </x:c>
      <x:c r="F62" s="13" t="n">
        <x:f>IF(NOT(ISNUMBER(A62)),"",F61+E62)</x:f>
        <x:v>1000</x:v>
      </x:c>
      <x:c r="G62" s="13" t="n">
        <x:f>IF(NOT(ISNUMBER(A62)),"",G61-E62)</x:f>
        <x:v>0</x:v>
      </x:c>
      <x:c r="H62" s="14" t="n">
        <x:f>IF(NOT(ISNUMBER(A62)),"",F62/'Outbreak model'!$E$6)</x:f>
        <x:v>1</x:v>
      </x:c>
    </x:row>
    <x:row r="63" ht="24" customHeight="1">
      <x:c r="A63" s="13" t="n">
        <x:f>IF(NOT(ISNUMBER(A62)),"",A62+1)</x:f>
        <x:v>58</x:v>
      </x:c>
      <x:c r="B63" s="13" t="n">
        <x:f>IF(NOT(ISNUMBER(A63)),"",A63*'Outbreak model'!$E$9)</x:f>
        <x:v>696</x:v>
      </x:c>
      <x:c r="C63" s="13" t="n">
        <x:f>IF(NOT(ISNUMBER(A63)),"",E62)</x:f>
        <x:v>0</x:v>
      </x:c>
      <x:c r="D63" s="13" t="n">
        <x:f>IF(NOT(ISNUMBER(A63)),"",D62+C63)</x:f>
        <x:v>1000</x:v>
      </x:c>
      <x:c r="E63" s="13" t="n">
        <x:f>IF(NOT(ISNUMBER(A63)),"",MIN(G62,C63*'Outbreak model'!$E$8))</x:f>
        <x:v>0</x:v>
      </x:c>
      <x:c r="F63" s="13" t="n">
        <x:f>IF(NOT(ISNUMBER(A63)),"",F62+E63)</x:f>
        <x:v>1000</x:v>
      </x:c>
      <x:c r="G63" s="13" t="n">
        <x:f>IF(NOT(ISNUMBER(A63)),"",G62-E63)</x:f>
        <x:v>0</x:v>
      </x:c>
      <x:c r="H63" s="14" t="n">
        <x:f>IF(NOT(ISNUMBER(A63)),"",F63/'Outbreak model'!$E$6)</x:f>
        <x:v>1</x:v>
      </x:c>
    </x:row>
    <x:row r="64" ht="24" customHeight="1">
      <x:c r="A64" s="13" t="n">
        <x:f>IF(NOT(ISNUMBER(A63)),"",A63+1)</x:f>
        <x:v>59</x:v>
      </x:c>
      <x:c r="B64" s="13" t="n">
        <x:f>IF(NOT(ISNUMBER(A64)),"",A64*'Outbreak model'!$E$9)</x:f>
        <x:v>708</x:v>
      </x:c>
      <x:c r="C64" s="13" t="n">
        <x:f>IF(NOT(ISNUMBER(A64)),"",E63)</x:f>
        <x:v>0</x:v>
      </x:c>
      <x:c r="D64" s="13" t="n">
        <x:f>IF(NOT(ISNUMBER(A64)),"",D63+C64)</x:f>
        <x:v>1000</x:v>
      </x:c>
      <x:c r="E64" s="13" t="n">
        <x:f>IF(NOT(ISNUMBER(A64)),"",MIN(G63,C64*'Outbreak model'!$E$8))</x:f>
        <x:v>0</x:v>
      </x:c>
      <x:c r="F64" s="13" t="n">
        <x:f>IF(NOT(ISNUMBER(A64)),"",F63+E64)</x:f>
        <x:v>1000</x:v>
      </x:c>
      <x:c r="G64" s="13" t="n">
        <x:f>IF(NOT(ISNUMBER(A64)),"",G63-E64)</x:f>
        <x:v>0</x:v>
      </x:c>
      <x:c r="H64" s="14" t="n">
        <x:f>IF(NOT(ISNUMBER(A64)),"",F64/'Outbreak model'!$E$6)</x:f>
        <x:v>1</x:v>
      </x:c>
    </x:row>
    <x:row r="65" ht="24" customHeight="1">
      <x:c r="A65" s="13" t="n">
        <x:f>IF(NOT(ISNUMBER(A64)),"",A64+1)</x:f>
        <x:v>60</x:v>
      </x:c>
      <x:c r="B65" s="13" t="n">
        <x:f>IF(NOT(ISNUMBER(A65)),"",A65*'Outbreak model'!$E$9)</x:f>
        <x:v>720</x:v>
      </x:c>
      <x:c r="C65" s="13" t="n">
        <x:f>IF(NOT(ISNUMBER(A65)),"",E64)</x:f>
        <x:v>0</x:v>
      </x:c>
      <x:c r="D65" s="13" t="n">
        <x:f>IF(NOT(ISNUMBER(A65)),"",D64+C65)</x:f>
        <x:v>1000</x:v>
      </x:c>
      <x:c r="E65" s="13" t="n">
        <x:f>IF(NOT(ISNUMBER(A65)),"",MIN(G64,C65*'Outbreak model'!$E$8))</x:f>
        <x:v>0</x:v>
      </x:c>
      <x:c r="F65" s="13" t="n">
        <x:f>IF(NOT(ISNUMBER(A65)),"",F64+E65)</x:f>
        <x:v>1000</x:v>
      </x:c>
      <x:c r="G65" s="13" t="n">
        <x:f>IF(NOT(ISNUMBER(A65)),"",G64-E65)</x:f>
        <x:v>0</x:v>
      </x:c>
      <x:c r="H65" s="14" t="n">
        <x:f>IF(NOT(ISNUMBER(A65)),"",F65/'Outbreak model'!$E$6)</x:f>
        <x:v>1</x:v>
      </x:c>
    </x:row>
    <x:row r="66" ht="24" customHeight="1">
      <x:c r="A66" s="13" t="n">
        <x:f>IF(NOT(ISNUMBER(A65)),"",A65+1)</x:f>
        <x:v>61</x:v>
      </x:c>
      <x:c r="B66" s="13" t="n">
        <x:f>IF(NOT(ISNUMBER(A66)),"",A66*'Outbreak model'!$E$9)</x:f>
        <x:v>732</x:v>
      </x:c>
      <x:c r="C66" s="13" t="n">
        <x:f>IF(NOT(ISNUMBER(A66)),"",E65)</x:f>
        <x:v>0</x:v>
      </x:c>
      <x:c r="D66" s="13" t="n">
        <x:f>IF(NOT(ISNUMBER(A66)),"",D65+C66)</x:f>
        <x:v>1000</x:v>
      </x:c>
      <x:c r="E66" s="13" t="n">
        <x:f>IF(NOT(ISNUMBER(A66)),"",MIN(G65,C66*'Outbreak model'!$E$8))</x:f>
        <x:v>0</x:v>
      </x:c>
      <x:c r="F66" s="13" t="n">
        <x:f>IF(NOT(ISNUMBER(A66)),"",F65+E66)</x:f>
        <x:v>1000</x:v>
      </x:c>
      <x:c r="G66" s="13" t="n">
        <x:f>IF(NOT(ISNUMBER(A66)),"",G65-E66)</x:f>
        <x:v>0</x:v>
      </x:c>
      <x:c r="H66" s="14" t="n">
        <x:f>IF(NOT(ISNUMBER(A66)),"",F66/'Outbreak model'!$E$6)</x:f>
        <x:v>1</x:v>
      </x:c>
    </x:row>
    <x:row r="67" ht="24" customHeight="1">
      <x:c r="A67" s="13" t="n">
        <x:f>IF(NOT(ISNUMBER(A66)),"",A66+1)</x:f>
        <x:v>62</x:v>
      </x:c>
      <x:c r="B67" s="13" t="n">
        <x:f>IF(NOT(ISNUMBER(A67)),"",A67*'Outbreak model'!$E$9)</x:f>
        <x:v>744</x:v>
      </x:c>
      <x:c r="C67" s="13" t="n">
        <x:f>IF(NOT(ISNUMBER(A67)),"",E66)</x:f>
        <x:v>0</x:v>
      </x:c>
      <x:c r="D67" s="13" t="n">
        <x:f>IF(NOT(ISNUMBER(A67)),"",D66+C67)</x:f>
        <x:v>1000</x:v>
      </x:c>
      <x:c r="E67" s="13" t="n">
        <x:f>IF(NOT(ISNUMBER(A67)),"",MIN(G66,C67*'Outbreak model'!$E$8))</x:f>
        <x:v>0</x:v>
      </x:c>
      <x:c r="F67" s="13" t="n">
        <x:f>IF(NOT(ISNUMBER(A67)),"",F66+E67)</x:f>
        <x:v>1000</x:v>
      </x:c>
      <x:c r="G67" s="13" t="n">
        <x:f>IF(NOT(ISNUMBER(A67)),"",G66-E67)</x:f>
        <x:v>0</x:v>
      </x:c>
      <x:c r="H67" s="14" t="n">
        <x:f>IF(NOT(ISNUMBER(A67)),"",F67/'Outbreak model'!$E$6)</x:f>
        <x:v>1</x:v>
      </x:c>
    </x:row>
    <x:row r="68" ht="24" customHeight="1">
      <x:c r="A68" s="13" t="n">
        <x:f>IF(NOT(ISNUMBER(A67)),"",A67+1)</x:f>
        <x:v>63</x:v>
      </x:c>
      <x:c r="B68" s="13" t="n">
        <x:f>IF(NOT(ISNUMBER(A68)),"",A68*'Outbreak model'!$E$9)</x:f>
        <x:v>756</x:v>
      </x:c>
      <x:c r="C68" s="13" t="n">
        <x:f>IF(NOT(ISNUMBER(A68)),"",E67)</x:f>
        <x:v>0</x:v>
      </x:c>
      <x:c r="D68" s="13" t="n">
        <x:f>IF(NOT(ISNUMBER(A68)),"",D67+C68)</x:f>
        <x:v>1000</x:v>
      </x:c>
      <x:c r="E68" s="13" t="n">
        <x:f>IF(NOT(ISNUMBER(A68)),"",MIN(G67,C68*'Outbreak model'!$E$8))</x:f>
        <x:v>0</x:v>
      </x:c>
      <x:c r="F68" s="13" t="n">
        <x:f>IF(NOT(ISNUMBER(A68)),"",F67+E68)</x:f>
        <x:v>1000</x:v>
      </x:c>
      <x:c r="G68" s="13" t="n">
        <x:f>IF(NOT(ISNUMBER(A68)),"",G67-E68)</x:f>
        <x:v>0</x:v>
      </x:c>
      <x:c r="H68" s="14" t="n">
        <x:f>IF(NOT(ISNUMBER(A68)),"",F68/'Outbreak model'!$E$6)</x:f>
        <x:v>1</x:v>
      </x:c>
    </x:row>
    <x:row r="69" ht="24" customHeight="1">
      <x:c r="A69" s="13" t="n">
        <x:f>IF(NOT(ISNUMBER(A68)),"",A68+1)</x:f>
        <x:v>64</x:v>
      </x:c>
      <x:c r="B69" s="13" t="n">
        <x:f>IF(NOT(ISNUMBER(A69)),"",A69*'Outbreak model'!$E$9)</x:f>
        <x:v>768</x:v>
      </x:c>
      <x:c r="C69" s="13" t="n">
        <x:f>IF(NOT(ISNUMBER(A69)),"",E68)</x:f>
        <x:v>0</x:v>
      </x:c>
      <x:c r="D69" s="13" t="n">
        <x:f>IF(NOT(ISNUMBER(A69)),"",D68+C69)</x:f>
        <x:v>1000</x:v>
      </x:c>
      <x:c r="E69" s="13" t="n">
        <x:f>IF(NOT(ISNUMBER(A69)),"",MIN(G68,C69*'Outbreak model'!$E$8))</x:f>
        <x:v>0</x:v>
      </x:c>
      <x:c r="F69" s="13" t="n">
        <x:f>IF(NOT(ISNUMBER(A69)),"",F68+E69)</x:f>
        <x:v>1000</x:v>
      </x:c>
      <x:c r="G69" s="13" t="n">
        <x:f>IF(NOT(ISNUMBER(A69)),"",G68-E69)</x:f>
        <x:v>0</x:v>
      </x:c>
      <x:c r="H69" s="14" t="n">
        <x:f>IF(NOT(ISNUMBER(A69)),"",F69/'Outbreak model'!$E$6)</x:f>
        <x:v>1</x:v>
      </x:c>
    </x:row>
    <x:row r="70" ht="24" customHeight="1">
      <x:c r="A70" s="13" t="n">
        <x:f>IF(NOT(ISNUMBER(A69)),"",A69+1)</x:f>
        <x:v>65</x:v>
      </x:c>
      <x:c r="B70" s="13" t="n">
        <x:f>IF(NOT(ISNUMBER(A70)),"",A70*'Outbreak model'!$E$9)</x:f>
        <x:v>780</x:v>
      </x:c>
      <x:c r="C70" s="13" t="n">
        <x:f>IF(NOT(ISNUMBER(A70)),"",E69)</x:f>
        <x:v>0</x:v>
      </x:c>
      <x:c r="D70" s="13" t="n">
        <x:f>IF(NOT(ISNUMBER(A70)),"",D69+C70)</x:f>
        <x:v>1000</x:v>
      </x:c>
      <x:c r="E70" s="13" t="n">
        <x:f>IF(NOT(ISNUMBER(A70)),"",MIN(G69,C70*'Outbreak model'!$E$8))</x:f>
        <x:v>0</x:v>
      </x:c>
      <x:c r="F70" s="13" t="n">
        <x:f>IF(NOT(ISNUMBER(A70)),"",F69+E70)</x:f>
        <x:v>1000</x:v>
      </x:c>
      <x:c r="G70" s="13" t="n">
        <x:f>IF(NOT(ISNUMBER(A70)),"",G69-E70)</x:f>
        <x:v>0</x:v>
      </x:c>
      <x:c r="H70" s="14" t="n">
        <x:f>IF(NOT(ISNUMBER(A70)),"",F70/'Outbreak model'!$E$6)</x:f>
        <x:v>1</x:v>
      </x:c>
    </x:row>
    <x:row r="71" ht="24" customHeight="1">
      <x:c r="A71" s="13" t="n">
        <x:f>IF(NOT(ISNUMBER(A70)),"",A70+1)</x:f>
        <x:v>66</x:v>
      </x:c>
      <x:c r="B71" s="13" t="n">
        <x:f>IF(NOT(ISNUMBER(A71)),"",A71*'Outbreak model'!$E$9)</x:f>
        <x:v>792</x:v>
      </x:c>
      <x:c r="C71" s="13" t="n">
        <x:f>IF(NOT(ISNUMBER(A71)),"",E70)</x:f>
        <x:v>0</x:v>
      </x:c>
      <x:c r="D71" s="13" t="n">
        <x:f>IF(NOT(ISNUMBER(A71)),"",D70+C71)</x:f>
        <x:v>1000</x:v>
      </x:c>
      <x:c r="E71" s="13" t="n">
        <x:f>IF(NOT(ISNUMBER(A71)),"",MIN(G70,C71*'Outbreak model'!$E$8))</x:f>
        <x:v>0</x:v>
      </x:c>
      <x:c r="F71" s="13" t="n">
        <x:f>IF(NOT(ISNUMBER(A71)),"",F70+E71)</x:f>
        <x:v>1000</x:v>
      </x:c>
      <x:c r="G71" s="13" t="n">
        <x:f>IF(NOT(ISNUMBER(A71)),"",G70-E71)</x:f>
        <x:v>0</x:v>
      </x:c>
      <x:c r="H71" s="14" t="n">
        <x:f>IF(NOT(ISNUMBER(A71)),"",F71/'Outbreak model'!$E$6)</x:f>
        <x:v>1</x:v>
      </x:c>
    </x:row>
    <x:row r="72" ht="24" customHeight="1">
      <x:c r="A72" s="13" t="n">
        <x:f>IF(NOT(ISNUMBER(A71)),"",A71+1)</x:f>
        <x:v>67</x:v>
      </x:c>
      <x:c r="B72" s="13" t="n">
        <x:f>IF(NOT(ISNUMBER(A72)),"",A72*'Outbreak model'!$E$9)</x:f>
        <x:v>804</x:v>
      </x:c>
      <x:c r="C72" s="13" t="n">
        <x:f>IF(NOT(ISNUMBER(A72)),"",E71)</x:f>
        <x:v>0</x:v>
      </x:c>
      <x:c r="D72" s="13" t="n">
        <x:f>IF(NOT(ISNUMBER(A72)),"",D71+C72)</x:f>
        <x:v>1000</x:v>
      </x:c>
      <x:c r="E72" s="13" t="n">
        <x:f>IF(NOT(ISNUMBER(A72)),"",MIN(G71,C72*'Outbreak model'!$E$8))</x:f>
        <x:v>0</x:v>
      </x:c>
      <x:c r="F72" s="13" t="n">
        <x:f>IF(NOT(ISNUMBER(A72)),"",F71+E72)</x:f>
        <x:v>1000</x:v>
      </x:c>
      <x:c r="G72" s="13" t="n">
        <x:f>IF(NOT(ISNUMBER(A72)),"",G71-E72)</x:f>
        <x:v>0</x:v>
      </x:c>
      <x:c r="H72" s="14" t="n">
        <x:f>IF(NOT(ISNUMBER(A72)),"",F72/'Outbreak model'!$E$6)</x:f>
        <x:v>1</x:v>
      </x:c>
    </x:row>
    <x:row r="73" ht="24" customHeight="1">
      <x:c r="A73" s="13" t="n">
        <x:f>IF(NOT(ISNUMBER(A72)),"",A72+1)</x:f>
        <x:v>68</x:v>
      </x:c>
      <x:c r="B73" s="13" t="n">
        <x:f>IF(NOT(ISNUMBER(A73)),"",A73*'Outbreak model'!$E$9)</x:f>
        <x:v>816</x:v>
      </x:c>
      <x:c r="C73" s="13" t="n">
        <x:f>IF(NOT(ISNUMBER(A73)),"",E72)</x:f>
        <x:v>0</x:v>
      </x:c>
      <x:c r="D73" s="13" t="n">
        <x:f>IF(NOT(ISNUMBER(A73)),"",D72+C73)</x:f>
        <x:v>1000</x:v>
      </x:c>
      <x:c r="E73" s="13" t="n">
        <x:f>IF(NOT(ISNUMBER(A73)),"",MIN(G72,C73*'Outbreak model'!$E$8))</x:f>
        <x:v>0</x:v>
      </x:c>
      <x:c r="F73" s="13" t="n">
        <x:f>IF(NOT(ISNUMBER(A73)),"",F72+E73)</x:f>
        <x:v>1000</x:v>
      </x:c>
      <x:c r="G73" s="13" t="n">
        <x:f>IF(NOT(ISNUMBER(A73)),"",G72-E73)</x:f>
        <x:v>0</x:v>
      </x:c>
      <x:c r="H73" s="14" t="n">
        <x:f>IF(NOT(ISNUMBER(A73)),"",F73/'Outbreak model'!$E$6)</x:f>
        <x:v>1</x:v>
      </x:c>
    </x:row>
    <x:row r="74" ht="24" customHeight="1">
      <x:c r="A74" s="13" t="n">
        <x:f>IF(NOT(ISNUMBER(A73)),"",A73+1)</x:f>
        <x:v>69</x:v>
      </x:c>
      <x:c r="B74" s="13" t="n">
        <x:f>IF(NOT(ISNUMBER(A74)),"",A74*'Outbreak model'!$E$9)</x:f>
        <x:v>828</x:v>
      </x:c>
      <x:c r="C74" s="13" t="n">
        <x:f>IF(NOT(ISNUMBER(A74)),"",E73)</x:f>
        <x:v>0</x:v>
      </x:c>
      <x:c r="D74" s="13" t="n">
        <x:f>IF(NOT(ISNUMBER(A74)),"",D73+C74)</x:f>
        <x:v>1000</x:v>
      </x:c>
      <x:c r="E74" s="13" t="n">
        <x:f>IF(NOT(ISNUMBER(A74)),"",MIN(G73,C74*'Outbreak model'!$E$8))</x:f>
        <x:v>0</x:v>
      </x:c>
      <x:c r="F74" s="13" t="n">
        <x:f>IF(NOT(ISNUMBER(A74)),"",F73+E74)</x:f>
        <x:v>1000</x:v>
      </x:c>
      <x:c r="G74" s="13" t="n">
        <x:f>IF(NOT(ISNUMBER(A74)),"",G73-E74)</x:f>
        <x:v>0</x:v>
      </x:c>
      <x:c r="H74" s="14" t="n">
        <x:f>IF(NOT(ISNUMBER(A74)),"",F74/'Outbreak model'!$E$6)</x:f>
        <x:v>1</x:v>
      </x:c>
    </x:row>
    <x:row r="75" ht="24" customHeight="1">
      <x:c r="A75" s="13" t="n">
        <x:f>IF(NOT(ISNUMBER(A74)),"",A74+1)</x:f>
        <x:v>70</x:v>
      </x:c>
      <x:c r="B75" s="13" t="n">
        <x:f>IF(NOT(ISNUMBER(A75)),"",A75*'Outbreak model'!$E$9)</x:f>
        <x:v>840</x:v>
      </x:c>
      <x:c r="C75" s="13" t="n">
        <x:f>IF(NOT(ISNUMBER(A75)),"",E74)</x:f>
        <x:v>0</x:v>
      </x:c>
      <x:c r="D75" s="13" t="n">
        <x:f>IF(NOT(ISNUMBER(A75)),"",D74+C75)</x:f>
        <x:v>1000</x:v>
      </x:c>
      <x:c r="E75" s="13" t="n">
        <x:f>IF(NOT(ISNUMBER(A75)),"",MIN(G74,C75*'Outbreak model'!$E$8))</x:f>
        <x:v>0</x:v>
      </x:c>
      <x:c r="F75" s="13" t="n">
        <x:f>IF(NOT(ISNUMBER(A75)),"",F74+E75)</x:f>
        <x:v>1000</x:v>
      </x:c>
      <x:c r="G75" s="13" t="n">
        <x:f>IF(NOT(ISNUMBER(A75)),"",G74-E75)</x:f>
        <x:v>0</x:v>
      </x:c>
      <x:c r="H75" s="14" t="n">
        <x:f>IF(NOT(ISNUMBER(A75)),"",F75/'Outbreak model'!$E$6)</x:f>
        <x:v>1</x:v>
      </x:c>
    </x:row>
    <x:row r="76" ht="24" customHeight="1">
      <x:c r="A76" s="13" t="n">
        <x:f>IF(NOT(ISNUMBER(A75)),"",A75+1)</x:f>
        <x:v>71</x:v>
      </x:c>
      <x:c r="B76" s="13" t="n">
        <x:f>IF(NOT(ISNUMBER(A76)),"",A76*'Outbreak model'!$E$9)</x:f>
        <x:v>852</x:v>
      </x:c>
      <x:c r="C76" s="13" t="n">
        <x:f>IF(NOT(ISNUMBER(A76)),"",E75)</x:f>
        <x:v>0</x:v>
      </x:c>
      <x:c r="D76" s="13" t="n">
        <x:f>IF(NOT(ISNUMBER(A76)),"",D75+C76)</x:f>
        <x:v>1000</x:v>
      </x:c>
      <x:c r="E76" s="13" t="n">
        <x:f>IF(NOT(ISNUMBER(A76)),"",MIN(G75,C76*'Outbreak model'!$E$8))</x:f>
        <x:v>0</x:v>
      </x:c>
      <x:c r="F76" s="13" t="n">
        <x:f>IF(NOT(ISNUMBER(A76)),"",F75+E76)</x:f>
        <x:v>1000</x:v>
      </x:c>
      <x:c r="G76" s="13" t="n">
        <x:f>IF(NOT(ISNUMBER(A76)),"",G75-E76)</x:f>
        <x:v>0</x:v>
      </x:c>
      <x:c r="H76" s="14" t="n">
        <x:f>IF(NOT(ISNUMBER(A76)),"",F76/'Outbreak model'!$E$6)</x:f>
        <x:v>1</x:v>
      </x:c>
    </x:row>
    <x:row r="77" ht="24" customHeight="1">
      <x:c r="A77" s="13" t="n">
        <x:f>IF(NOT(ISNUMBER(A76)),"",A76+1)</x:f>
        <x:v>72</x:v>
      </x:c>
      <x:c r="B77" s="13" t="n">
        <x:f>IF(NOT(ISNUMBER(A77)),"",A77*'Outbreak model'!$E$9)</x:f>
        <x:v>864</x:v>
      </x:c>
      <x:c r="C77" s="13" t="n">
        <x:f>IF(NOT(ISNUMBER(A77)),"",E76)</x:f>
        <x:v>0</x:v>
      </x:c>
      <x:c r="D77" s="13" t="n">
        <x:f>IF(NOT(ISNUMBER(A77)),"",D76+C77)</x:f>
        <x:v>1000</x:v>
      </x:c>
      <x:c r="E77" s="13" t="n">
        <x:f>IF(NOT(ISNUMBER(A77)),"",MIN(G76,C77*'Outbreak model'!$E$8))</x:f>
        <x:v>0</x:v>
      </x:c>
      <x:c r="F77" s="13" t="n">
        <x:f>IF(NOT(ISNUMBER(A77)),"",F76+E77)</x:f>
        <x:v>1000</x:v>
      </x:c>
      <x:c r="G77" s="13" t="n">
        <x:f>IF(NOT(ISNUMBER(A77)),"",G76-E77)</x:f>
        <x:v>0</x:v>
      </x:c>
      <x:c r="H77" s="14" t="n">
        <x:f>IF(NOT(ISNUMBER(A77)),"",F77/'Outbreak model'!$E$6)</x:f>
        <x:v>1</x:v>
      </x:c>
    </x:row>
    <x:row r="78" ht="24" customHeight="1">
      <x:c r="A78" s="13" t="n">
        <x:f>IF(NOT(ISNUMBER(A77)),"",A77+1)</x:f>
        <x:v>73</x:v>
      </x:c>
      <x:c r="B78" s="13" t="n">
        <x:f>IF(NOT(ISNUMBER(A78)),"",A78*'Outbreak model'!$E$9)</x:f>
        <x:v>876</x:v>
      </x:c>
      <x:c r="C78" s="13" t="n">
        <x:f>IF(NOT(ISNUMBER(A78)),"",E77)</x:f>
        <x:v>0</x:v>
      </x:c>
      <x:c r="D78" s="13" t="n">
        <x:f>IF(NOT(ISNUMBER(A78)),"",D77+C78)</x:f>
        <x:v>1000</x:v>
      </x:c>
      <x:c r="E78" s="13" t="n">
        <x:f>IF(NOT(ISNUMBER(A78)),"",MIN(G77,C78*'Outbreak model'!$E$8))</x:f>
        <x:v>0</x:v>
      </x:c>
      <x:c r="F78" s="13" t="n">
        <x:f>IF(NOT(ISNUMBER(A78)),"",F77+E78)</x:f>
        <x:v>1000</x:v>
      </x:c>
      <x:c r="G78" s="13" t="n">
        <x:f>IF(NOT(ISNUMBER(A78)),"",G77-E78)</x:f>
        <x:v>0</x:v>
      </x:c>
      <x:c r="H78" s="14" t="n">
        <x:f>IF(NOT(ISNUMBER(A78)),"",F78/'Outbreak model'!$E$6)</x:f>
        <x:v>1</x:v>
      </x:c>
    </x:row>
    <x:row r="79" ht="24" customHeight="1">
      <x:c r="A79" s="13" t="n">
        <x:f>IF(NOT(ISNUMBER(A78)),"",A78+1)</x:f>
        <x:v>74</x:v>
      </x:c>
      <x:c r="B79" s="13" t="n">
        <x:f>IF(NOT(ISNUMBER(A79)),"",A79*'Outbreak model'!$E$9)</x:f>
        <x:v>888</x:v>
      </x:c>
      <x:c r="C79" s="13" t="n">
        <x:f>IF(NOT(ISNUMBER(A79)),"",E78)</x:f>
        <x:v>0</x:v>
      </x:c>
      <x:c r="D79" s="13" t="n">
        <x:f>IF(NOT(ISNUMBER(A79)),"",D78+C79)</x:f>
        <x:v>1000</x:v>
      </x:c>
      <x:c r="E79" s="13" t="n">
        <x:f>IF(NOT(ISNUMBER(A79)),"",MIN(G78,C79*'Outbreak model'!$E$8))</x:f>
        <x:v>0</x:v>
      </x:c>
      <x:c r="F79" s="13" t="n">
        <x:f>IF(NOT(ISNUMBER(A79)),"",F78+E79)</x:f>
        <x:v>1000</x:v>
      </x:c>
      <x:c r="G79" s="13" t="n">
        <x:f>IF(NOT(ISNUMBER(A79)),"",G78-E79)</x:f>
        <x:v>0</x:v>
      </x:c>
      <x:c r="H79" s="14" t="n">
        <x:f>IF(NOT(ISNUMBER(A79)),"",F79/'Outbreak model'!$E$6)</x:f>
        <x:v>1</x:v>
      </x:c>
    </x:row>
    <x:row r="80" ht="24" customHeight="1">
      <x:c r="A80" s="13" t="n">
        <x:f>IF(NOT(ISNUMBER(A79)),"",A79+1)</x:f>
        <x:v>75</x:v>
      </x:c>
      <x:c r="B80" s="13" t="n">
        <x:f>IF(NOT(ISNUMBER(A80)),"",A80*'Outbreak model'!$E$9)</x:f>
        <x:v>900</x:v>
      </x:c>
      <x:c r="C80" s="13" t="n">
        <x:f>IF(NOT(ISNUMBER(A80)),"",E79)</x:f>
        <x:v>0</x:v>
      </x:c>
      <x:c r="D80" s="13" t="n">
        <x:f>IF(NOT(ISNUMBER(A80)),"",D79+C80)</x:f>
        <x:v>1000</x:v>
      </x:c>
      <x:c r="E80" s="13" t="n">
        <x:f>IF(NOT(ISNUMBER(A80)),"",MIN(G79,C80*'Outbreak model'!$E$8))</x:f>
        <x:v>0</x:v>
      </x:c>
      <x:c r="F80" s="13" t="n">
        <x:f>IF(NOT(ISNUMBER(A80)),"",F79+E80)</x:f>
        <x:v>1000</x:v>
      </x:c>
      <x:c r="G80" s="13" t="n">
        <x:f>IF(NOT(ISNUMBER(A80)),"",G79-E80)</x:f>
        <x:v>0</x:v>
      </x:c>
      <x:c r="H80" s="14" t="n">
        <x:f>IF(NOT(ISNUMBER(A80)),"",F80/'Outbreak model'!$E$6)</x:f>
        <x:v>1</x:v>
      </x:c>
    </x:row>
    <x:row r="81" ht="24" customHeight="1">
      <x:c r="A81" s="13" t="n">
        <x:f>IF(NOT(ISNUMBER(A80)),"",A80+1)</x:f>
        <x:v>76</x:v>
      </x:c>
      <x:c r="B81" s="13" t="n">
        <x:f>IF(NOT(ISNUMBER(A81)),"",A81*'Outbreak model'!$E$9)</x:f>
        <x:v>912</x:v>
      </x:c>
      <x:c r="C81" s="13" t="n">
        <x:f>IF(NOT(ISNUMBER(A81)),"",E80)</x:f>
        <x:v>0</x:v>
      </x:c>
      <x:c r="D81" s="13" t="n">
        <x:f>IF(NOT(ISNUMBER(A81)),"",D80+C81)</x:f>
        <x:v>1000</x:v>
      </x:c>
      <x:c r="E81" s="13" t="n">
        <x:f>IF(NOT(ISNUMBER(A81)),"",MIN(G80,C81*'Outbreak model'!$E$8))</x:f>
        <x:v>0</x:v>
      </x:c>
      <x:c r="F81" s="13" t="n">
        <x:f>IF(NOT(ISNUMBER(A81)),"",F80+E81)</x:f>
        <x:v>1000</x:v>
      </x:c>
      <x:c r="G81" s="13" t="n">
        <x:f>IF(NOT(ISNUMBER(A81)),"",G80-E81)</x:f>
        <x:v>0</x:v>
      </x:c>
      <x:c r="H81" s="14" t="n">
        <x:f>IF(NOT(ISNUMBER(A81)),"",F81/'Outbreak model'!$E$6)</x:f>
        <x:v>1</x:v>
      </x:c>
    </x:row>
    <x:row r="82" ht="24" customHeight="1">
      <x:c r="A82" s="13" t="n">
        <x:f>IF(NOT(ISNUMBER(A81)),"",A81+1)</x:f>
        <x:v>77</x:v>
      </x:c>
      <x:c r="B82" s="13" t="n">
        <x:f>IF(NOT(ISNUMBER(A82)),"",A82*'Outbreak model'!$E$9)</x:f>
        <x:v>924</x:v>
      </x:c>
      <x:c r="C82" s="13" t="n">
        <x:f>IF(NOT(ISNUMBER(A82)),"",E81)</x:f>
        <x:v>0</x:v>
      </x:c>
      <x:c r="D82" s="13" t="n">
        <x:f>IF(NOT(ISNUMBER(A82)),"",D81+C82)</x:f>
        <x:v>1000</x:v>
      </x:c>
      <x:c r="E82" s="13" t="n">
        <x:f>IF(NOT(ISNUMBER(A82)),"",MIN(G81,C82*'Outbreak model'!$E$8))</x:f>
        <x:v>0</x:v>
      </x:c>
      <x:c r="F82" s="13" t="n">
        <x:f>IF(NOT(ISNUMBER(A82)),"",F81+E82)</x:f>
        <x:v>1000</x:v>
      </x:c>
      <x:c r="G82" s="13" t="n">
        <x:f>IF(NOT(ISNUMBER(A82)),"",G81-E82)</x:f>
        <x:v>0</x:v>
      </x:c>
      <x:c r="H82" s="14" t="n">
        <x:f>IF(NOT(ISNUMBER(A82)),"",F82/'Outbreak model'!$E$6)</x:f>
        <x:v>1</x:v>
      </x:c>
    </x:row>
    <x:row r="83" ht="24" customHeight="1">
      <x:c r="A83" s="13" t="n">
        <x:f>IF(NOT(ISNUMBER(A82)),"",A82+1)</x:f>
        <x:v>78</x:v>
      </x:c>
      <x:c r="B83" s="13" t="n">
        <x:f>IF(NOT(ISNUMBER(A83)),"",A83*'Outbreak model'!$E$9)</x:f>
        <x:v>936</x:v>
      </x:c>
      <x:c r="C83" s="13" t="n">
        <x:f>IF(NOT(ISNUMBER(A83)),"",E82)</x:f>
        <x:v>0</x:v>
      </x:c>
      <x:c r="D83" s="13" t="n">
        <x:f>IF(NOT(ISNUMBER(A83)),"",D82+C83)</x:f>
        <x:v>1000</x:v>
      </x:c>
      <x:c r="E83" s="13" t="n">
        <x:f>IF(NOT(ISNUMBER(A83)),"",MIN(G82,C83*'Outbreak model'!$E$8))</x:f>
        <x:v>0</x:v>
      </x:c>
      <x:c r="F83" s="13" t="n">
        <x:f>IF(NOT(ISNUMBER(A83)),"",F82+E83)</x:f>
        <x:v>1000</x:v>
      </x:c>
      <x:c r="G83" s="13" t="n">
        <x:f>IF(NOT(ISNUMBER(A83)),"",G82-E83)</x:f>
        <x:v>0</x:v>
      </x:c>
      <x:c r="H83" s="14" t="n">
        <x:f>IF(NOT(ISNUMBER(A83)),"",F83/'Outbreak model'!$E$6)</x:f>
        <x:v>1</x:v>
      </x:c>
    </x:row>
    <x:row r="84" ht="24" customHeight="1">
      <x:c r="A84" s="13" t="n">
        <x:f>IF(NOT(ISNUMBER(A83)),"",A83+1)</x:f>
        <x:v>79</x:v>
      </x:c>
      <x:c r="B84" s="13" t="n">
        <x:f>IF(NOT(ISNUMBER(A84)),"",A84*'Outbreak model'!$E$9)</x:f>
        <x:v>948</x:v>
      </x:c>
      <x:c r="C84" s="13" t="n">
        <x:f>IF(NOT(ISNUMBER(A84)),"",E83)</x:f>
        <x:v>0</x:v>
      </x:c>
      <x:c r="D84" s="13" t="n">
        <x:f>IF(NOT(ISNUMBER(A84)),"",D83+C84)</x:f>
        <x:v>1000</x:v>
      </x:c>
      <x:c r="E84" s="13" t="n">
        <x:f>IF(NOT(ISNUMBER(A84)),"",MIN(G83,C84*'Outbreak model'!$E$8))</x:f>
        <x:v>0</x:v>
      </x:c>
      <x:c r="F84" s="13" t="n">
        <x:f>IF(NOT(ISNUMBER(A84)),"",F83+E84)</x:f>
        <x:v>1000</x:v>
      </x:c>
      <x:c r="G84" s="13" t="n">
        <x:f>IF(NOT(ISNUMBER(A84)),"",G83-E84)</x:f>
        <x:v>0</x:v>
      </x:c>
      <x:c r="H84" s="14" t="n">
        <x:f>IF(NOT(ISNUMBER(A84)),"",F84/'Outbreak model'!$E$6)</x:f>
        <x:v>1</x:v>
      </x:c>
    </x:row>
    <x:row r="85" ht="24" customHeight="1">
      <x:c r="A85" s="13" t="n">
        <x:f>IF(NOT(ISNUMBER(A84)),"",A84+1)</x:f>
        <x:v>80</x:v>
      </x:c>
      <x:c r="B85" s="13" t="n">
        <x:f>IF(NOT(ISNUMBER(A85)),"",A85*'Outbreak model'!$E$9)</x:f>
        <x:v>960</x:v>
      </x:c>
      <x:c r="C85" s="13" t="n">
        <x:f>IF(NOT(ISNUMBER(A85)),"",E84)</x:f>
        <x:v>0</x:v>
      </x:c>
      <x:c r="D85" s="13" t="n">
        <x:f>IF(NOT(ISNUMBER(A85)),"",D84+C85)</x:f>
        <x:v>1000</x:v>
      </x:c>
      <x:c r="E85" s="13" t="n">
        <x:f>IF(NOT(ISNUMBER(A85)),"",MIN(G84,C85*'Outbreak model'!$E$8))</x:f>
        <x:v>0</x:v>
      </x:c>
      <x:c r="F85" s="13" t="n">
        <x:f>IF(NOT(ISNUMBER(A85)),"",F84+E85)</x:f>
        <x:v>1000</x:v>
      </x:c>
      <x:c r="G85" s="13" t="n">
        <x:f>IF(NOT(ISNUMBER(A85)),"",G84-E85)</x:f>
        <x:v>0</x:v>
      </x:c>
      <x:c r="H85" s="14" t="n">
        <x:f>IF(NOT(ISNUMBER(A85)),"",F85/'Outbreak model'!$E$6)</x:f>
        <x:v>1</x:v>
      </x:c>
    </x:row>
    <x:row r="86" ht="24" customHeight="1">
      <x:c r="A86" s="13" t="n">
        <x:f>IF(NOT(ISNUMBER(A85)),"",A85+1)</x:f>
        <x:v>81</x:v>
      </x:c>
      <x:c r="B86" s="13" t="n">
        <x:f>IF(NOT(ISNUMBER(A86)),"",A86*'Outbreak model'!$E$9)</x:f>
        <x:v>972</x:v>
      </x:c>
      <x:c r="C86" s="13" t="n">
        <x:f>IF(NOT(ISNUMBER(A86)),"",E85)</x:f>
        <x:v>0</x:v>
      </x:c>
      <x:c r="D86" s="13" t="n">
        <x:f>IF(NOT(ISNUMBER(A86)),"",D85+C86)</x:f>
        <x:v>1000</x:v>
      </x:c>
      <x:c r="E86" s="13" t="n">
        <x:f>IF(NOT(ISNUMBER(A86)),"",MIN(G85,C86*'Outbreak model'!$E$8))</x:f>
        <x:v>0</x:v>
      </x:c>
      <x:c r="F86" s="13" t="n">
        <x:f>IF(NOT(ISNUMBER(A86)),"",F85+E86)</x:f>
        <x:v>1000</x:v>
      </x:c>
      <x:c r="G86" s="13" t="n">
        <x:f>IF(NOT(ISNUMBER(A86)),"",G85-E86)</x:f>
        <x:v>0</x:v>
      </x:c>
      <x:c r="H86" s="14" t="n">
        <x:f>IF(NOT(ISNUMBER(A86)),"",F86/'Outbreak model'!$E$6)</x:f>
        <x:v>1</x:v>
      </x:c>
    </x:row>
    <x:row r="87" ht="24" customHeight="1">
      <x:c r="A87" s="13" t="n">
        <x:f>IF(NOT(ISNUMBER(A86)),"",A86+1)</x:f>
        <x:v>82</x:v>
      </x:c>
      <x:c r="B87" s="13" t="n">
        <x:f>IF(NOT(ISNUMBER(A87)),"",A87*'Outbreak model'!$E$9)</x:f>
        <x:v>984</x:v>
      </x:c>
      <x:c r="C87" s="13" t="n">
        <x:f>IF(NOT(ISNUMBER(A87)),"",E86)</x:f>
        <x:v>0</x:v>
      </x:c>
      <x:c r="D87" s="13" t="n">
        <x:f>IF(NOT(ISNUMBER(A87)),"",D86+C87)</x:f>
        <x:v>1000</x:v>
      </x:c>
      <x:c r="E87" s="13" t="n">
        <x:f>IF(NOT(ISNUMBER(A87)),"",MIN(G86,C87*'Outbreak model'!$E$8))</x:f>
        <x:v>0</x:v>
      </x:c>
      <x:c r="F87" s="13" t="n">
        <x:f>IF(NOT(ISNUMBER(A87)),"",F86+E87)</x:f>
        <x:v>1000</x:v>
      </x:c>
      <x:c r="G87" s="13" t="n">
        <x:f>IF(NOT(ISNUMBER(A87)),"",G86-E87)</x:f>
        <x:v>0</x:v>
      </x:c>
      <x:c r="H87" s="14" t="n">
        <x:f>IF(NOT(ISNUMBER(A87)),"",F87/'Outbreak model'!$E$6)</x:f>
        <x:v>1</x:v>
      </x:c>
    </x:row>
    <x:row r="88" ht="24" customHeight="1">
      <x:c r="A88" s="13" t="n">
        <x:f>IF(NOT(ISNUMBER(A87)),"",A87+1)</x:f>
        <x:v>83</x:v>
      </x:c>
      <x:c r="B88" s="13" t="n">
        <x:f>IF(NOT(ISNUMBER(A88)),"",A88*'Outbreak model'!$E$9)</x:f>
        <x:v>996</x:v>
      </x:c>
      <x:c r="C88" s="13" t="n">
        <x:f>IF(NOT(ISNUMBER(A88)),"",E87)</x:f>
        <x:v>0</x:v>
      </x:c>
      <x:c r="D88" s="13" t="n">
        <x:f>IF(NOT(ISNUMBER(A88)),"",D87+C88)</x:f>
        <x:v>1000</x:v>
      </x:c>
      <x:c r="E88" s="13" t="n">
        <x:f>IF(NOT(ISNUMBER(A88)),"",MIN(G87,C88*'Outbreak model'!$E$8))</x:f>
        <x:v>0</x:v>
      </x:c>
      <x:c r="F88" s="13" t="n">
        <x:f>IF(NOT(ISNUMBER(A88)),"",F87+E88)</x:f>
        <x:v>1000</x:v>
      </x:c>
      <x:c r="G88" s="13" t="n">
        <x:f>IF(NOT(ISNUMBER(A88)),"",G87-E88)</x:f>
        <x:v>0</x:v>
      </x:c>
      <x:c r="H88" s="14" t="n">
        <x:f>IF(NOT(ISNUMBER(A88)),"",F88/'Outbreak model'!$E$6)</x:f>
        <x:v>1</x:v>
      </x:c>
    </x:row>
    <x:row r="89" ht="24" customHeight="1">
      <x:c r="A89" s="13" t="n">
        <x:f>IF(NOT(ISNUMBER(A88)),"",A88+1)</x:f>
        <x:v>84</x:v>
      </x:c>
      <x:c r="B89" s="13" t="n">
        <x:f>IF(NOT(ISNUMBER(A89)),"",A89*'Outbreak model'!$E$9)</x:f>
        <x:v>1008</x:v>
      </x:c>
      <x:c r="C89" s="13" t="n">
        <x:f>IF(NOT(ISNUMBER(A89)),"",E88)</x:f>
        <x:v>0</x:v>
      </x:c>
      <x:c r="D89" s="13" t="n">
        <x:f>IF(NOT(ISNUMBER(A89)),"",D88+C89)</x:f>
        <x:v>1000</x:v>
      </x:c>
      <x:c r="E89" s="13" t="n">
        <x:f>IF(NOT(ISNUMBER(A89)),"",MIN(G88,C89*'Outbreak model'!$E$8))</x:f>
        <x:v>0</x:v>
      </x:c>
      <x:c r="F89" s="13" t="n">
        <x:f>IF(NOT(ISNUMBER(A89)),"",F88+E89)</x:f>
        <x:v>1000</x:v>
      </x:c>
      <x:c r="G89" s="13" t="n">
        <x:f>IF(NOT(ISNUMBER(A89)),"",G88-E89)</x:f>
        <x:v>0</x:v>
      </x:c>
      <x:c r="H89" s="14" t="n">
        <x:f>IF(NOT(ISNUMBER(A89)),"",F89/'Outbreak model'!$E$6)</x:f>
        <x:v>1</x:v>
      </x:c>
    </x:row>
    <x:row r="90" ht="24" customHeight="1">
      <x:c r="A90" s="13" t="n">
        <x:f>IF(NOT(ISNUMBER(A89)),"",A89+1)</x:f>
        <x:v>85</x:v>
      </x:c>
      <x:c r="B90" s="13" t="n">
        <x:f>IF(NOT(ISNUMBER(A90)),"",A90*'Outbreak model'!$E$9)</x:f>
        <x:v>1020</x:v>
      </x:c>
      <x:c r="C90" s="13" t="n">
        <x:f>IF(NOT(ISNUMBER(A90)),"",E89)</x:f>
        <x:v>0</x:v>
      </x:c>
      <x:c r="D90" s="13" t="n">
        <x:f>IF(NOT(ISNUMBER(A90)),"",D89+C90)</x:f>
        <x:v>1000</x:v>
      </x:c>
      <x:c r="E90" s="13" t="n">
        <x:f>IF(NOT(ISNUMBER(A90)),"",MIN(G89,C90*'Outbreak model'!$E$8))</x:f>
        <x:v>0</x:v>
      </x:c>
      <x:c r="F90" s="13" t="n">
        <x:f>IF(NOT(ISNUMBER(A90)),"",F89+E90)</x:f>
        <x:v>1000</x:v>
      </x:c>
      <x:c r="G90" s="13" t="n">
        <x:f>IF(NOT(ISNUMBER(A90)),"",G89-E90)</x:f>
        <x:v>0</x:v>
      </x:c>
      <x:c r="H90" s="14" t="n">
        <x:f>IF(NOT(ISNUMBER(A90)),"",F90/'Outbreak model'!$E$6)</x:f>
        <x:v>1</x:v>
      </x:c>
    </x:row>
    <x:row r="91" ht="24" customHeight="1">
      <x:c r="A91" s="13" t="n">
        <x:f>IF(NOT(ISNUMBER(A90)),"",A90+1)</x:f>
        <x:v>86</x:v>
      </x:c>
      <x:c r="B91" s="13" t="n">
        <x:f>IF(NOT(ISNUMBER(A91)),"",A91*'Outbreak model'!$E$9)</x:f>
        <x:v>1032</x:v>
      </x:c>
      <x:c r="C91" s="13" t="n">
        <x:f>IF(NOT(ISNUMBER(A91)),"",E90)</x:f>
        <x:v>0</x:v>
      </x:c>
      <x:c r="D91" s="13" t="n">
        <x:f>IF(NOT(ISNUMBER(A91)),"",D90+C91)</x:f>
        <x:v>1000</x:v>
      </x:c>
      <x:c r="E91" s="13" t="n">
        <x:f>IF(NOT(ISNUMBER(A91)),"",MIN(G90,C91*'Outbreak model'!$E$8))</x:f>
        <x:v>0</x:v>
      </x:c>
      <x:c r="F91" s="13" t="n">
        <x:f>IF(NOT(ISNUMBER(A91)),"",F90+E91)</x:f>
        <x:v>1000</x:v>
      </x:c>
      <x:c r="G91" s="13" t="n">
        <x:f>IF(NOT(ISNUMBER(A91)),"",G90-E91)</x:f>
        <x:v>0</x:v>
      </x:c>
      <x:c r="H91" s="14" t="n">
        <x:f>IF(NOT(ISNUMBER(A91)),"",F91/'Outbreak model'!$E$6)</x:f>
        <x:v>1</x:v>
      </x:c>
    </x:row>
    <x:row r="92" ht="24" customHeight="1">
      <x:c r="A92" s="13" t="n">
        <x:f>IF(NOT(ISNUMBER(A91)),"",A91+1)</x:f>
        <x:v>87</x:v>
      </x:c>
      <x:c r="B92" s="13" t="n">
        <x:f>IF(NOT(ISNUMBER(A92)),"",A92*'Outbreak model'!$E$9)</x:f>
        <x:v>1044</x:v>
      </x:c>
      <x:c r="C92" s="13" t="n">
        <x:f>IF(NOT(ISNUMBER(A92)),"",E91)</x:f>
        <x:v>0</x:v>
      </x:c>
      <x:c r="D92" s="13" t="n">
        <x:f>IF(NOT(ISNUMBER(A92)),"",D91+C92)</x:f>
        <x:v>1000</x:v>
      </x:c>
      <x:c r="E92" s="13" t="n">
        <x:f>IF(NOT(ISNUMBER(A92)),"",MIN(G91,C92*'Outbreak model'!$E$8))</x:f>
        <x:v>0</x:v>
      </x:c>
      <x:c r="F92" s="13" t="n">
        <x:f>IF(NOT(ISNUMBER(A92)),"",F91+E92)</x:f>
        <x:v>1000</x:v>
      </x:c>
      <x:c r="G92" s="13" t="n">
        <x:f>IF(NOT(ISNUMBER(A92)),"",G91-E92)</x:f>
        <x:v>0</x:v>
      </x:c>
      <x:c r="H92" s="14" t="n">
        <x:f>IF(NOT(ISNUMBER(A92)),"",F92/'Outbreak model'!$E$6)</x:f>
        <x:v>1</x:v>
      </x:c>
    </x:row>
    <x:row r="93" ht="24" customHeight="1">
      <x:c r="A93" s="13" t="n">
        <x:f>IF(NOT(ISNUMBER(A92)),"",A92+1)</x:f>
        <x:v>88</x:v>
      </x:c>
      <x:c r="B93" s="13" t="n">
        <x:f>IF(NOT(ISNUMBER(A93)),"",A93*'Outbreak model'!$E$9)</x:f>
        <x:v>1056</x:v>
      </x:c>
      <x:c r="C93" s="13" t="n">
        <x:f>IF(NOT(ISNUMBER(A93)),"",E92)</x:f>
        <x:v>0</x:v>
      </x:c>
      <x:c r="D93" s="13" t="n">
        <x:f>IF(NOT(ISNUMBER(A93)),"",D92+C93)</x:f>
        <x:v>1000</x:v>
      </x:c>
      <x:c r="E93" s="13" t="n">
        <x:f>IF(NOT(ISNUMBER(A93)),"",MIN(G92,C93*'Outbreak model'!$E$8))</x:f>
        <x:v>0</x:v>
      </x:c>
      <x:c r="F93" s="13" t="n">
        <x:f>IF(NOT(ISNUMBER(A93)),"",F92+E93)</x:f>
        <x:v>1000</x:v>
      </x:c>
      <x:c r="G93" s="13" t="n">
        <x:f>IF(NOT(ISNUMBER(A93)),"",G92-E93)</x:f>
        <x:v>0</x:v>
      </x:c>
      <x:c r="H93" s="14" t="n">
        <x:f>IF(NOT(ISNUMBER(A93)),"",F93/'Outbreak model'!$E$6)</x:f>
        <x:v>1</x:v>
      </x:c>
    </x:row>
    <x:row r="94" ht="24" customHeight="1">
      <x:c r="A94" s="13" t="n">
        <x:f>IF(NOT(ISNUMBER(A93)),"",A93+1)</x:f>
        <x:v>89</x:v>
      </x:c>
      <x:c r="B94" s="13" t="n">
        <x:f>IF(NOT(ISNUMBER(A94)),"",A94*'Outbreak model'!$E$9)</x:f>
        <x:v>1068</x:v>
      </x:c>
      <x:c r="C94" s="13" t="n">
        <x:f>IF(NOT(ISNUMBER(A94)),"",E93)</x:f>
        <x:v>0</x:v>
      </x:c>
      <x:c r="D94" s="13" t="n">
        <x:f>IF(NOT(ISNUMBER(A94)),"",D93+C94)</x:f>
        <x:v>1000</x:v>
      </x:c>
      <x:c r="E94" s="13" t="n">
        <x:f>IF(NOT(ISNUMBER(A94)),"",MIN(G93,C94*'Outbreak model'!$E$8))</x:f>
        <x:v>0</x:v>
      </x:c>
      <x:c r="F94" s="13" t="n">
        <x:f>IF(NOT(ISNUMBER(A94)),"",F93+E94)</x:f>
        <x:v>1000</x:v>
      </x:c>
      <x:c r="G94" s="13" t="n">
        <x:f>IF(NOT(ISNUMBER(A94)),"",G93-E94)</x:f>
        <x:v>0</x:v>
      </x:c>
      <x:c r="H94" s="14" t="n">
        <x:f>IF(NOT(ISNUMBER(A94)),"",F94/'Outbreak model'!$E$6)</x:f>
        <x:v>1</x:v>
      </x:c>
    </x:row>
    <x:row r="95" ht="24" customHeight="1">
      <x:c r="A95" s="13" t="n">
        <x:f>IF(NOT(ISNUMBER(A94)),"",A94+1)</x:f>
        <x:v>90</x:v>
      </x:c>
      <x:c r="B95" s="13" t="n">
        <x:f>IF(NOT(ISNUMBER(A95)),"",A95*'Outbreak model'!$E$9)</x:f>
        <x:v>1080</x:v>
      </x:c>
      <x:c r="C95" s="13" t="n">
        <x:f>IF(NOT(ISNUMBER(A95)),"",E94)</x:f>
        <x:v>0</x:v>
      </x:c>
      <x:c r="D95" s="13" t="n">
        <x:f>IF(NOT(ISNUMBER(A95)),"",D94+C95)</x:f>
        <x:v>1000</x:v>
      </x:c>
      <x:c r="E95" s="13" t="n">
        <x:f>IF(NOT(ISNUMBER(A95)),"",MIN(G94,C95*'Outbreak model'!$E$8))</x:f>
        <x:v>0</x:v>
      </x:c>
      <x:c r="F95" s="13" t="n">
        <x:f>IF(NOT(ISNUMBER(A95)),"",F94+E95)</x:f>
        <x:v>1000</x:v>
      </x:c>
      <x:c r="G95" s="13" t="n">
        <x:f>IF(NOT(ISNUMBER(A95)),"",G94-E95)</x:f>
        <x:v>0</x:v>
      </x:c>
      <x:c r="H95" s="14" t="n">
        <x:f>IF(NOT(ISNUMBER(A95)),"",F95/'Outbreak model'!$E$6)</x:f>
        <x:v>1</x:v>
      </x:c>
    </x:row>
    <x:row r="96" ht="24" customHeight="1">
      <x:c r="A96" s="13" t="n">
        <x:f>IF(NOT(ISNUMBER(A95)),"",A95+1)</x:f>
        <x:v>91</x:v>
      </x:c>
      <x:c r="B96" s="13" t="n">
        <x:f>IF(NOT(ISNUMBER(A96)),"",A96*'Outbreak model'!$E$9)</x:f>
        <x:v>1092</x:v>
      </x:c>
      <x:c r="C96" s="13" t="n">
        <x:f>IF(NOT(ISNUMBER(A96)),"",E95)</x:f>
        <x:v>0</x:v>
      </x:c>
      <x:c r="D96" s="13" t="n">
        <x:f>IF(NOT(ISNUMBER(A96)),"",D95+C96)</x:f>
        <x:v>1000</x:v>
      </x:c>
      <x:c r="E96" s="13" t="n">
        <x:f>IF(NOT(ISNUMBER(A96)),"",MIN(G95,C96*'Outbreak model'!$E$8))</x:f>
        <x:v>0</x:v>
      </x:c>
      <x:c r="F96" s="13" t="n">
        <x:f>IF(NOT(ISNUMBER(A96)),"",F95+E96)</x:f>
        <x:v>1000</x:v>
      </x:c>
      <x:c r="G96" s="13" t="n">
        <x:f>IF(NOT(ISNUMBER(A96)),"",G95-E96)</x:f>
        <x:v>0</x:v>
      </x:c>
      <x:c r="H96" s="14" t="n">
        <x:f>IF(NOT(ISNUMBER(A96)),"",F96/'Outbreak model'!$E$6)</x:f>
        <x:v>1</x:v>
      </x:c>
    </x:row>
    <x:row r="97" ht="24" customHeight="1">
      <x:c r="A97" s="13" t="n">
        <x:f>IF(NOT(ISNUMBER(A96)),"",A96+1)</x:f>
        <x:v>92</x:v>
      </x:c>
      <x:c r="B97" s="13" t="n">
        <x:f>IF(NOT(ISNUMBER(A97)),"",A97*'Outbreak model'!$E$9)</x:f>
        <x:v>1104</x:v>
      </x:c>
      <x:c r="C97" s="13" t="n">
        <x:f>IF(NOT(ISNUMBER(A97)),"",E96)</x:f>
        <x:v>0</x:v>
      </x:c>
      <x:c r="D97" s="13" t="n">
        <x:f>IF(NOT(ISNUMBER(A97)),"",D96+C97)</x:f>
        <x:v>1000</x:v>
      </x:c>
      <x:c r="E97" s="13" t="n">
        <x:f>IF(NOT(ISNUMBER(A97)),"",MIN(G96,C97*'Outbreak model'!$E$8))</x:f>
        <x:v>0</x:v>
      </x:c>
      <x:c r="F97" s="13" t="n">
        <x:f>IF(NOT(ISNUMBER(A97)),"",F96+E97)</x:f>
        <x:v>1000</x:v>
      </x:c>
      <x:c r="G97" s="13" t="n">
        <x:f>IF(NOT(ISNUMBER(A97)),"",G96-E97)</x:f>
        <x:v>0</x:v>
      </x:c>
      <x:c r="H97" s="14" t="n">
        <x:f>IF(NOT(ISNUMBER(A97)),"",F97/'Outbreak model'!$E$6)</x:f>
        <x:v>1</x:v>
      </x:c>
    </x:row>
    <x:row r="98" ht="24" customHeight="1">
      <x:c r="A98" s="13" t="n">
        <x:f>IF(NOT(ISNUMBER(A97)),"",A97+1)</x:f>
        <x:v>93</x:v>
      </x:c>
      <x:c r="B98" s="13" t="n">
        <x:f>IF(NOT(ISNUMBER(A98)),"",A98*'Outbreak model'!$E$9)</x:f>
        <x:v>1116</x:v>
      </x:c>
      <x:c r="C98" s="13" t="n">
        <x:f>IF(NOT(ISNUMBER(A98)),"",E97)</x:f>
        <x:v>0</x:v>
      </x:c>
      <x:c r="D98" s="13" t="n">
        <x:f>IF(NOT(ISNUMBER(A98)),"",D97+C98)</x:f>
        <x:v>1000</x:v>
      </x:c>
      <x:c r="E98" s="13" t="n">
        <x:f>IF(NOT(ISNUMBER(A98)),"",MIN(G97,C98*'Outbreak model'!$E$8))</x:f>
        <x:v>0</x:v>
      </x:c>
      <x:c r="F98" s="13" t="n">
        <x:f>IF(NOT(ISNUMBER(A98)),"",F97+E98)</x:f>
        <x:v>1000</x:v>
      </x:c>
      <x:c r="G98" s="13" t="n">
        <x:f>IF(NOT(ISNUMBER(A98)),"",G97-E98)</x:f>
        <x:v>0</x:v>
      </x:c>
      <x:c r="H98" s="14" t="n">
        <x:f>IF(NOT(ISNUMBER(A98)),"",F98/'Outbreak model'!$E$6)</x:f>
        <x:v>1</x:v>
      </x:c>
    </x:row>
    <x:row r="99" ht="24" customHeight="1">
      <x:c r="A99" s="13" t="n">
        <x:f>IF(NOT(ISNUMBER(A98)),"",A98+1)</x:f>
        <x:v>94</x:v>
      </x:c>
      <x:c r="B99" s="13" t="n">
        <x:f>IF(NOT(ISNUMBER(A99)),"",A99*'Outbreak model'!$E$9)</x:f>
        <x:v>1128</x:v>
      </x:c>
      <x:c r="C99" s="13" t="n">
        <x:f>IF(NOT(ISNUMBER(A99)),"",E98)</x:f>
        <x:v>0</x:v>
      </x:c>
      <x:c r="D99" s="13" t="n">
        <x:f>IF(NOT(ISNUMBER(A99)),"",D98+C99)</x:f>
        <x:v>1000</x:v>
      </x:c>
      <x:c r="E99" s="13" t="n">
        <x:f>IF(NOT(ISNUMBER(A99)),"",MIN(G98,C99*'Outbreak model'!$E$8))</x:f>
        <x:v>0</x:v>
      </x:c>
      <x:c r="F99" s="13" t="n">
        <x:f>IF(NOT(ISNUMBER(A99)),"",F98+E99)</x:f>
        <x:v>1000</x:v>
      </x:c>
      <x:c r="G99" s="13" t="n">
        <x:f>IF(NOT(ISNUMBER(A99)),"",G98-E99)</x:f>
        <x:v>0</x:v>
      </x:c>
      <x:c r="H99" s="14" t="n">
        <x:f>IF(NOT(ISNUMBER(A99)),"",F99/'Outbreak model'!$E$6)</x:f>
        <x:v>1</x:v>
      </x:c>
    </x:row>
    <x:row r="100" ht="24" customHeight="1">
      <x:c r="A100" s="13" t="n">
        <x:f>IF(NOT(ISNUMBER(A99)),"",A99+1)</x:f>
        <x:v>95</x:v>
      </x:c>
      <x:c r="B100" s="13" t="n">
        <x:f>IF(NOT(ISNUMBER(A100)),"",A100*'Outbreak model'!$E$9)</x:f>
        <x:v>1140</x:v>
      </x:c>
      <x:c r="C100" s="13" t="n">
        <x:f>IF(NOT(ISNUMBER(A100)),"",E99)</x:f>
        <x:v>0</x:v>
      </x:c>
      <x:c r="D100" s="13" t="n">
        <x:f>IF(NOT(ISNUMBER(A100)),"",D99+C100)</x:f>
        <x:v>1000</x:v>
      </x:c>
      <x:c r="E100" s="13" t="n">
        <x:f>IF(NOT(ISNUMBER(A100)),"",MIN(G99,C100*'Outbreak model'!$E$8))</x:f>
        <x:v>0</x:v>
      </x:c>
      <x:c r="F100" s="13" t="n">
        <x:f>IF(NOT(ISNUMBER(A100)),"",F99+E100)</x:f>
        <x:v>1000</x:v>
      </x:c>
      <x:c r="G100" s="13" t="n">
        <x:f>IF(NOT(ISNUMBER(A100)),"",G99-E100)</x:f>
        <x:v>0</x:v>
      </x:c>
      <x:c r="H100" s="14" t="n">
        <x:f>IF(NOT(ISNUMBER(A100)),"",F100/'Outbreak model'!$E$6)</x:f>
        <x:v>1</x:v>
      </x:c>
    </x:row>
    <x:row r="101" ht="24" customHeight="1">
      <x:c r="A101" s="13" t="n">
        <x:f>IF(NOT(ISNUMBER(A100)),"",A100+1)</x:f>
        <x:v>96</x:v>
      </x:c>
      <x:c r="B101" s="13" t="n">
        <x:f>IF(NOT(ISNUMBER(A101)),"",A101*'Outbreak model'!$E$9)</x:f>
        <x:v>1152</x:v>
      </x:c>
      <x:c r="C101" s="13" t="n">
        <x:f>IF(NOT(ISNUMBER(A101)),"",E100)</x:f>
        <x:v>0</x:v>
      </x:c>
      <x:c r="D101" s="13" t="n">
        <x:f>IF(NOT(ISNUMBER(A101)),"",D100+C101)</x:f>
        <x:v>1000</x:v>
      </x:c>
      <x:c r="E101" s="13" t="n">
        <x:f>IF(NOT(ISNUMBER(A101)),"",MIN(G100,C101*'Outbreak model'!$E$8))</x:f>
        <x:v>0</x:v>
      </x:c>
      <x:c r="F101" s="13" t="n">
        <x:f>IF(NOT(ISNUMBER(A101)),"",F100+E101)</x:f>
        <x:v>1000</x:v>
      </x:c>
      <x:c r="G101" s="13" t="n">
        <x:f>IF(NOT(ISNUMBER(A101)),"",G100-E101)</x:f>
        <x:v>0</x:v>
      </x:c>
      <x:c r="H101" s="14" t="n">
        <x:f>IF(NOT(ISNUMBER(A101)),"",F101/'Outbreak model'!$E$6)</x:f>
        <x:v>1</x:v>
      </x:c>
    </x:row>
    <x:row r="102" ht="24" customHeight="1">
      <x:c r="A102" s="13" t="n">
        <x:f>IF(NOT(ISNUMBER(A101)),"",A101+1)</x:f>
        <x:v>97</x:v>
      </x:c>
      <x:c r="B102" s="13" t="n">
        <x:f>IF(NOT(ISNUMBER(A102)),"",A102*'Outbreak model'!$E$9)</x:f>
        <x:v>1164</x:v>
      </x:c>
      <x:c r="C102" s="13" t="n">
        <x:f>IF(NOT(ISNUMBER(A102)),"",E101)</x:f>
        <x:v>0</x:v>
      </x:c>
      <x:c r="D102" s="13" t="n">
        <x:f>IF(NOT(ISNUMBER(A102)),"",D101+C102)</x:f>
        <x:v>1000</x:v>
      </x:c>
      <x:c r="E102" s="13" t="n">
        <x:f>IF(NOT(ISNUMBER(A102)),"",MIN(G101,C102*'Outbreak model'!$E$8))</x:f>
        <x:v>0</x:v>
      </x:c>
      <x:c r="F102" s="13" t="n">
        <x:f>IF(NOT(ISNUMBER(A102)),"",F101+E102)</x:f>
        <x:v>1000</x:v>
      </x:c>
      <x:c r="G102" s="13" t="n">
        <x:f>IF(NOT(ISNUMBER(A102)),"",G101-E102)</x:f>
        <x:v>0</x:v>
      </x:c>
      <x:c r="H102" s="14" t="n">
        <x:f>IF(NOT(ISNUMBER(A102)),"",F102/'Outbreak model'!$E$6)</x:f>
        <x:v>1</x:v>
      </x:c>
    </x:row>
    <x:row r="103" ht="24" customHeight="1">
      <x:c r="A103" s="13" t="n">
        <x:f>IF(NOT(ISNUMBER(A102)),"",A102+1)</x:f>
        <x:v>98</x:v>
      </x:c>
      <x:c r="B103" s="13" t="n">
        <x:f>IF(NOT(ISNUMBER(A103)),"",A103*'Outbreak model'!$E$9)</x:f>
        <x:v>1176</x:v>
      </x:c>
      <x:c r="C103" s="13" t="n">
        <x:f>IF(NOT(ISNUMBER(A103)),"",E102)</x:f>
        <x:v>0</x:v>
      </x:c>
      <x:c r="D103" s="13" t="n">
        <x:f>IF(NOT(ISNUMBER(A103)),"",D102+C103)</x:f>
        <x:v>1000</x:v>
      </x:c>
      <x:c r="E103" s="13" t="n">
        <x:f>IF(NOT(ISNUMBER(A103)),"",MIN(G102,C103*'Outbreak model'!$E$8))</x:f>
        <x:v>0</x:v>
      </x:c>
      <x:c r="F103" s="13" t="n">
        <x:f>IF(NOT(ISNUMBER(A103)),"",F102+E103)</x:f>
        <x:v>1000</x:v>
      </x:c>
      <x:c r="G103" s="13" t="n">
        <x:f>IF(NOT(ISNUMBER(A103)),"",G102-E103)</x:f>
        <x:v>0</x:v>
      </x:c>
      <x:c r="H103" s="14" t="n">
        <x:f>IF(NOT(ISNUMBER(A103)),"",F103/'Outbreak model'!$E$6)</x:f>
        <x:v>1</x:v>
      </x:c>
    </x:row>
    <x:row r="104" ht="24" customHeight="1">
      <x:c r="A104" s="13" t="n">
        <x:f>IF(NOT(ISNUMBER(A103)),"",A103+1)</x:f>
        <x:v>99</x:v>
      </x:c>
      <x:c r="B104" s="13" t="n">
        <x:f>IF(NOT(ISNUMBER(A104)),"",A104*'Outbreak model'!$E$9)</x:f>
        <x:v>1188</x:v>
      </x:c>
      <x:c r="C104" s="13" t="n">
        <x:f>IF(NOT(ISNUMBER(A104)),"",E103)</x:f>
        <x:v>0</x:v>
      </x:c>
      <x:c r="D104" s="13" t="n">
        <x:f>IF(NOT(ISNUMBER(A104)),"",D103+C104)</x:f>
        <x:v>1000</x:v>
      </x:c>
      <x:c r="E104" s="13" t="n">
        <x:f>IF(NOT(ISNUMBER(A104)),"",MIN(G103,C104*'Outbreak model'!$E$8))</x:f>
        <x:v>0</x:v>
      </x:c>
      <x:c r="F104" s="13" t="n">
        <x:f>IF(NOT(ISNUMBER(A104)),"",F103+E104)</x:f>
        <x:v>1000</x:v>
      </x:c>
      <x:c r="G104" s="13" t="n">
        <x:f>IF(NOT(ISNUMBER(A104)),"",G103-E104)</x:f>
        <x:v>0</x:v>
      </x:c>
      <x:c r="H104" s="14" t="n">
        <x:f>IF(NOT(ISNUMBER(A104)),"",F104/'Outbreak model'!$E$6)</x:f>
        <x:v>1</x:v>
      </x:c>
    </x:row>
    <x:row r="105" ht="24" customHeight="1">
      <x:c r="A105" s="13" t="n">
        <x:f>IF(NOT(ISNUMBER(A104)),"",A104+1)</x:f>
        <x:v>100</x:v>
      </x:c>
      <x:c r="B105" s="13" t="n">
        <x:f>IF(NOT(ISNUMBER(A105)),"",A105*'Outbreak model'!$E$9)</x:f>
        <x:v>1200</x:v>
      </x:c>
      <x:c r="C105" s="13" t="n">
        <x:f>IF(NOT(ISNUMBER(A105)),"",E104)</x:f>
        <x:v>0</x:v>
      </x:c>
      <x:c r="D105" s="13" t="n">
        <x:f>IF(NOT(ISNUMBER(A105)),"",D104+C105)</x:f>
        <x:v>1000</x:v>
      </x:c>
      <x:c r="E105" s="13" t="n">
        <x:f>IF(NOT(ISNUMBER(A105)),"",MIN(G104,C105*'Outbreak model'!$E$8))</x:f>
        <x:v>0</x:v>
      </x:c>
      <x:c r="F105" s="13" t="n">
        <x:f>IF(NOT(ISNUMBER(A105)),"",F104+E105)</x:f>
        <x:v>1000</x:v>
      </x:c>
      <x:c r="G105" s="13" t="n">
        <x:f>IF(NOT(ISNUMBER(A105)),"",G104-E105)</x:f>
        <x:v>0</x:v>
      </x:c>
      <x:c r="H105" s="14" t="n">
        <x:f>IF(NOT(ISNUMBER(A105)),"",F105/'Outbreak model'!$E$6)</x:f>
        <x:v>1</x:v>
      </x:c>
    </x:row>
  </x:sheetData>
  <x:conditionalFormatting sqref="G5:G105">
    <x:cfRule type="cellIs" dxfId="1" priority="1" operator="equal">
      <x:formula>0</x:formula>
    </x:cfRule>
  </x:conditionalFormatting>
  <x:pageMargins left="0.7" right="0.7" top="0.75" bottom="0.75" header="0.3" footer="0.3"/>
</x:worksheet>
</file>